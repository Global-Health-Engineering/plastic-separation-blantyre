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prinz\Desktop\msc-published_data\data\derived_data\"/>
    </mc:Choice>
  </mc:AlternateContent>
  <xr:revisionPtr revIDLastSave="0" documentId="13_ncr:1_{ADE9D960-C7C0-42D6-9C43-AEAD6B4E30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valuation" sheetId="3" r:id="rId1"/>
    <sheet name="general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ZaLbGlAsG6H6Ni+Ai3tDTKQ54zGasfV71Dg4FUNi2M="/>
    </ext>
  </extLst>
</workbook>
</file>

<file path=xl/calcChain.xml><?xml version="1.0" encoding="utf-8"?>
<calcChain xmlns="http://schemas.openxmlformats.org/spreadsheetml/2006/main">
  <c r="O2" i="3" l="1"/>
  <c r="N3" i="3"/>
  <c r="N2" i="3"/>
  <c r="M3" i="3"/>
  <c r="O3" i="3" s="1"/>
  <c r="M2" i="3"/>
</calcChain>
</file>

<file path=xl/sharedStrings.xml><?xml version="1.0" encoding="utf-8"?>
<sst xmlns="http://schemas.openxmlformats.org/spreadsheetml/2006/main" count="70" uniqueCount="42">
  <si>
    <t>id</t>
  </si>
  <si>
    <t>Assumption:</t>
  </si>
  <si>
    <t>description</t>
  </si>
  <si>
    <t>variable</t>
  </si>
  <si>
    <t>unit</t>
  </si>
  <si>
    <t>Unique identifier of observation</t>
  </si>
  <si>
    <t>-</t>
  </si>
  <si>
    <t>run</t>
  </si>
  <si>
    <t>in_tot_g</t>
  </si>
  <si>
    <t>float_right_g</t>
  </si>
  <si>
    <t>float_PS_g</t>
  </si>
  <si>
    <t>float_PET_g</t>
  </si>
  <si>
    <t>float_PVC_g</t>
  </si>
  <si>
    <t>sink_right_g</t>
  </si>
  <si>
    <t>sink_LDPE_g</t>
  </si>
  <si>
    <t>sep_sol_id</t>
  </si>
  <si>
    <t>a</t>
  </si>
  <si>
    <t>float_PP_g</t>
  </si>
  <si>
    <t>float_HDPE_g</t>
  </si>
  <si>
    <t>purity_float</t>
  </si>
  <si>
    <t>purity_sink</t>
  </si>
  <si>
    <t>combined_purity</t>
  </si>
  <si>
    <t>The sorting step that is tested during the recording of an observation has two possible outputs (sink and float).</t>
  </si>
  <si>
    <t>For each output, the total mass of correctly assigned flakes, and the mass for each incorrectly assigned material is recorded.</t>
  </si>
  <si>
    <t>Data dictionary:</t>
  </si>
  <si>
    <t>Unique identifier of separation solution used for observation</t>
  </si>
  <si>
    <t>Number of repetiton for combination of sep_sol and stir_method</t>
  </si>
  <si>
    <t>Total mass of plastic flakes in input plastic (measured)</t>
  </si>
  <si>
    <t>g</t>
  </si>
  <si>
    <t>Measured mass of plastic flakes correctly assigned to float fraction</t>
  </si>
  <si>
    <t>Measured mass of PP flakes misclassified to float fraction</t>
  </si>
  <si>
    <t>Measured mass of HDPE flakes misclassified to float fraction</t>
  </si>
  <si>
    <t>Measured mass of PS flakes misclassified to float fraction</t>
  </si>
  <si>
    <t>Measured mass of PET flakes misclassified to float fraction</t>
  </si>
  <si>
    <t>Measured mass of PVC flakes misclassified to float fraction</t>
  </si>
  <si>
    <t>Measured mass of LDPE flakes misclassified to sink fraction</t>
  </si>
  <si>
    <t>Measured mass of plastic flakes correctly assigned to sink fraction</t>
  </si>
  <si>
    <t>Data evaluation sheet for test 03 "LDP separation - Proof of concept"</t>
  </si>
  <si>
    <t>Calculated purity of the float fraction</t>
  </si>
  <si>
    <t>%</t>
  </si>
  <si>
    <t>Calculated purity of the sink fraction</t>
  </si>
  <si>
    <t>Combined purity (average of purity_float and purity_sink)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</si>
</sst>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z val="8"/>
      <name val="Aptos Narrow"/>
      <scheme val="minor"/>
    </font>
    <font>
      <sz val="11"/>
      <color rgb="FF000000"/>
      <name val="Aptos Narrow"/>
    </font>
    <font>
      <b/>
      <sz val="11"/>
      <name val="Aptos Narrow"/>
    </font>
    <font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F6C6AC"/>
        <bgColor rgb="FFF6C6AC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F6C6AC"/>
        <bgColor indexed="64"/>
      </patternFill>
    </fill>
    <fill>
      <patternFill patternType="solid">
        <fgColor rgb="FFFAE2D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39">
    <xf numFmtId="0" fontId="0" fillId="0" borderId="0" xfId="0" applyFont="1" applyAlignment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10" borderId="1" xfId="0" applyFont="1" applyFill="1" applyBorder="1"/>
    <xf numFmtId="0" fontId="2" fillId="7" borderId="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3" borderId="7" xfId="0" applyFont="1" applyFill="1" applyBorder="1"/>
    <xf numFmtId="0" fontId="6" fillId="4" borderId="7" xfId="0" applyFont="1" applyFill="1" applyBorder="1"/>
    <xf numFmtId="0" fontId="6" fillId="5" borderId="7" xfId="0" applyFont="1" applyFill="1" applyBorder="1"/>
    <xf numFmtId="0" fontId="7" fillId="0" borderId="0" xfId="0" applyFont="1" applyAlignment="1"/>
    <xf numFmtId="0" fontId="4" fillId="7" borderId="1" xfId="0" applyFont="1" applyFill="1" applyBorder="1"/>
    <xf numFmtId="164" fontId="2" fillId="8" borderId="1" xfId="0" applyNumberFormat="1" applyFont="1" applyFill="1" applyBorder="1"/>
    <xf numFmtId="0" fontId="6" fillId="5" borderId="8" xfId="0" applyFont="1" applyFill="1" applyBorder="1"/>
    <xf numFmtId="0" fontId="2" fillId="10" borderId="10" xfId="0" applyFont="1" applyFill="1" applyBorder="1"/>
    <xf numFmtId="0" fontId="10" fillId="6" borderId="9" xfId="0" applyFont="1" applyFill="1" applyBorder="1" applyAlignment="1"/>
    <xf numFmtId="10" fontId="9" fillId="11" borderId="9" xfId="1" applyNumberFormat="1" applyFont="1" applyFill="1" applyBorder="1" applyAlignment="1"/>
    <xf numFmtId="0" fontId="5" fillId="0" borderId="0" xfId="0" applyFont="1"/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2" borderId="13" xfId="0" applyFill="1" applyBorder="1"/>
    <xf numFmtId="0" fontId="0" fillId="7" borderId="9" xfId="0" applyFill="1" applyBorder="1"/>
    <xf numFmtId="0" fontId="0" fillId="12" borderId="13" xfId="0" applyFont="1" applyFill="1" applyBorder="1" applyAlignment="1"/>
    <xf numFmtId="0" fontId="0" fillId="13" borderId="9" xfId="0" applyFont="1" applyFill="1" applyBorder="1" applyAlignment="1"/>
    <xf numFmtId="0" fontId="0" fillId="13" borderId="14" xfId="0" applyFont="1" applyFill="1" applyBorder="1" applyAlignment="1"/>
    <xf numFmtId="0" fontId="0" fillId="12" borderId="12" xfId="0" applyFont="1" applyFill="1" applyBorder="1" applyAlignment="1"/>
    <xf numFmtId="0" fontId="0" fillId="13" borderId="15" xfId="0" applyFont="1" applyFill="1" applyBorder="1" applyAlignment="1"/>
    <xf numFmtId="0" fontId="0" fillId="13" borderId="11" xfId="0" applyFont="1" applyFill="1" applyBorder="1" applyAlignment="1"/>
  </cellXfs>
  <cellStyles count="2">
    <cellStyle name="Normal" xfId="0" builtinId="0"/>
    <cellStyle name="Percent" xfId="1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AEDFB"/>
          <bgColor rgb="FFCAEDFB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FAE2D5"/>
          <bgColor rgb="FFFAE2D5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rgb="FFF6C6AC"/>
          <bgColor rgb="FFF6C6AC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9AAC51-5BCC-4294-814E-5BED1217683A}" name="Table33" displayName="Table33" ref="A1:O3" totalsRowShown="0" headerRowDxfId="26" dataDxfId="24" headerRowBorderDxfId="25" tableBorderDxfId="23" totalsRowBorderDxfId="22">
  <autoFilter ref="A1:O3" xr:uid="{A646DC29-CDD2-4BA3-B783-ED282316E5B1}"/>
  <sortState xmlns:xlrd2="http://schemas.microsoft.com/office/spreadsheetml/2017/richdata2" ref="A2:O3">
    <sortCondition descending="1" ref="O1:O3"/>
  </sortState>
  <tableColumns count="15">
    <tableColumn id="1" xr3:uid="{7409B1D6-C683-40F9-8316-6A50B121AAE0}" name="id" dataDxfId="21"/>
    <tableColumn id="25" xr3:uid="{E50494C5-B231-4975-BEC9-E26475DDB7F5}" name="sep_sol_id" dataDxfId="20"/>
    <tableColumn id="3" xr3:uid="{E6D32DE5-3AE4-4F41-92FE-6BE25C36E675}" name="run" dataDxfId="19"/>
    <tableColumn id="9" xr3:uid="{9AF864DE-C855-4BB2-B74A-053A6D518961}" name="in_tot_g" dataDxfId="18"/>
    <tableColumn id="10" xr3:uid="{2D00310B-180E-4026-8947-70C3E9C0FC6B}" name="float_right_g" dataDxfId="17"/>
    <tableColumn id="4" xr3:uid="{9B69595D-E6E0-4743-8924-55AEF5B19BBC}" name="float_PP_g" dataDxfId="16"/>
    <tableColumn id="2" xr3:uid="{CE5BDBEB-744F-4314-B32B-E7986B16D0EF}" name="float_HDPE_g" dataDxfId="15"/>
    <tableColumn id="11" xr3:uid="{7A081789-BF53-4B13-A71E-23059FD630E2}" name="float_PS_g" dataDxfId="14"/>
    <tableColumn id="21" xr3:uid="{E541F12B-5401-44F3-8E31-72358EC879EB}" name="float_PET_g" dataDxfId="13"/>
    <tableColumn id="12" xr3:uid="{E02B38D9-8C4E-4E62-A238-1EEE24953100}" name="float_PVC_g" dataDxfId="12"/>
    <tableColumn id="14" xr3:uid="{0256642D-7AD7-4E2E-B60C-DD431B565F83}" name="sink_LDPE_g" dataDxfId="11"/>
    <tableColumn id="15" xr3:uid="{2A9478BF-1F82-4A97-B049-85D31F4346D9}" name="sink_right_g" dataDxfId="10"/>
    <tableColumn id="5" xr3:uid="{7A460CAE-7F38-487D-903B-C8AB1358AF57}" name="purity_float" dataDxfId="9" dataCellStyle="Percent">
      <calculatedColumnFormula>Table33[[#This Row],[float_right_g]]/SUM(Table33[[#This Row],[float_right_g]:[float_PVC_g]])</calculatedColumnFormula>
    </tableColumn>
    <tableColumn id="6" xr3:uid="{6231606E-AB05-4B60-A781-4B917215B874}" name="purity_sink" dataDxfId="8" dataCellStyle="Percent">
      <calculatedColumnFormula>Table33[[#This Row],[sink_right_g]]/SUM(Table33[[#This Row],[sink_LDPE_g]:[sink_right_g]])</calculatedColumnFormula>
    </tableColumn>
    <tableColumn id="7" xr3:uid="{BC8D1BC9-AAF8-4D51-9496-FA82D1B60275}" name="combined_purity" dataDxfId="7" dataCellStyle="Percent">
      <calculatedColumnFormula>(Table33[[#This Row],[purity_float]]+Table33[[#This Row],[purity_sink]])/2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51BB03-AC0A-4940-AFC6-3395CEF28F11}" name="Table13" displayName="Table13" ref="A8:C23" totalsRowShown="0" headerRowDxfId="6" headerRowBorderDxfId="4" tableBorderDxfId="5" totalsRowBorderDxfId="3">
  <autoFilter ref="A8:C23" xr:uid="{D651BB03-AC0A-4940-AFC6-3395CEF28F11}"/>
  <tableColumns count="3">
    <tableColumn id="1" xr3:uid="{5DBA5B64-F61B-4205-922A-2279C79F6D0B}" name="variable" dataDxfId="2"/>
    <tableColumn id="2" xr3:uid="{1EDBEEEA-9B76-40DA-8C5C-7525BB4CFA28}" name="description" dataDxfId="1"/>
    <tableColumn id="3" xr3:uid="{2527A0EE-4D3E-4D86-8554-B03CCDD9000D}" name="uni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6A71-EA2A-4376-BF3A-44369BAB9336}">
  <dimension ref="A1:O999"/>
  <sheetViews>
    <sheetView workbookViewId="0">
      <selection activeCell="K1" sqref="K1"/>
    </sheetView>
  </sheetViews>
  <sheetFormatPr defaultColWidth="12.5703125" defaultRowHeight="15" customHeight="1" x14ac:dyDescent="0.25"/>
  <cols>
    <col min="1" max="1" width="5" bestFit="1" customWidth="1"/>
    <col min="2" max="2" width="12.7109375" bestFit="1" customWidth="1"/>
    <col min="3" max="3" width="6.28515625" bestFit="1" customWidth="1"/>
    <col min="4" max="4" width="10.28515625" bestFit="1" customWidth="1"/>
    <col min="5" max="5" width="14.28515625" bestFit="1" customWidth="1"/>
    <col min="6" max="6" width="12.42578125" customWidth="1"/>
    <col min="7" max="7" width="15.42578125" bestFit="1" customWidth="1"/>
    <col min="8" max="8" width="12.42578125" bestFit="1" customWidth="1"/>
    <col min="9" max="9" width="13.42578125" bestFit="1" customWidth="1"/>
    <col min="10" max="10" width="13.85546875" bestFit="1" customWidth="1"/>
    <col min="11" max="11" width="14.42578125" bestFit="1" customWidth="1"/>
    <col min="12" max="12" width="13.85546875" bestFit="1" customWidth="1"/>
    <col min="13" max="13" width="13.5703125" bestFit="1" customWidth="1"/>
    <col min="14" max="14" width="13.140625" bestFit="1" customWidth="1"/>
    <col min="15" max="15" width="18.5703125" bestFit="1" customWidth="1"/>
    <col min="16" max="16" width="14.42578125" bestFit="1" customWidth="1"/>
    <col min="17" max="17" width="14.85546875" bestFit="1" customWidth="1"/>
    <col min="18" max="18" width="13.85546875" bestFit="1" customWidth="1"/>
    <col min="19" max="19" width="14.42578125" bestFit="1" customWidth="1"/>
    <col min="20" max="20" width="14.85546875" bestFit="1" customWidth="1"/>
    <col min="21" max="21" width="13.85546875" bestFit="1" customWidth="1"/>
    <col min="22" max="27" width="9.28515625" customWidth="1"/>
  </cols>
  <sheetData>
    <row r="1" spans="1:15" s="16" customFormat="1" x14ac:dyDescent="0.25">
      <c r="A1" s="11" t="s">
        <v>0</v>
      </c>
      <c r="B1" s="12" t="s">
        <v>15</v>
      </c>
      <c r="C1" s="12" t="s">
        <v>7</v>
      </c>
      <c r="D1" s="13" t="s">
        <v>8</v>
      </c>
      <c r="E1" s="14" t="s">
        <v>9</v>
      </c>
      <c r="F1" s="14" t="s">
        <v>17</v>
      </c>
      <c r="G1" s="14" t="s">
        <v>18</v>
      </c>
      <c r="H1" s="14" t="s">
        <v>10</v>
      </c>
      <c r="I1" s="14" t="s">
        <v>11</v>
      </c>
      <c r="J1" s="14" t="s">
        <v>12</v>
      </c>
      <c r="K1" s="15" t="s">
        <v>14</v>
      </c>
      <c r="L1" s="19" t="s">
        <v>13</v>
      </c>
      <c r="M1" s="21" t="s">
        <v>19</v>
      </c>
      <c r="N1" s="21" t="s">
        <v>20</v>
      </c>
      <c r="O1" s="21" t="s">
        <v>21</v>
      </c>
    </row>
    <row r="2" spans="1:15" x14ac:dyDescent="0.25">
      <c r="A2" s="10">
        <v>2</v>
      </c>
      <c r="B2" s="17" t="s">
        <v>16</v>
      </c>
      <c r="C2" s="1">
        <v>2</v>
      </c>
      <c r="D2" s="18">
        <v>30</v>
      </c>
      <c r="E2" s="3">
        <v>0.751</v>
      </c>
      <c r="F2" s="3">
        <v>0</v>
      </c>
      <c r="G2" s="3">
        <v>0</v>
      </c>
      <c r="H2" s="3">
        <v>4.9000000000000002E-2</v>
      </c>
      <c r="I2" s="3">
        <v>7.3999999999999996E-2</v>
      </c>
      <c r="J2" s="3">
        <v>0</v>
      </c>
      <c r="K2" s="4">
        <v>1E-3</v>
      </c>
      <c r="L2" s="20">
        <v>29.06</v>
      </c>
      <c r="M2" s="22">
        <f>Table33[[#This Row],[float_right_g]]/SUM(Table33[[#This Row],[float_right_g]:[float_PVC_g]])</f>
        <v>0.8592677345537757</v>
      </c>
      <c r="N2" s="22">
        <f>Table33[[#This Row],[sink_right_g]]/SUM(Table33[[#This Row],[sink_LDPE_g]:[sink_right_g]])</f>
        <v>0.99996558962182991</v>
      </c>
      <c r="O2" s="22">
        <f>(Table33[[#This Row],[purity_float]]+Table33[[#This Row],[purity_sink]])/2</f>
        <v>0.9296166620878028</v>
      </c>
    </row>
    <row r="3" spans="1:15" x14ac:dyDescent="0.25">
      <c r="A3" s="10">
        <v>1</v>
      </c>
      <c r="B3" s="17" t="s">
        <v>16</v>
      </c>
      <c r="C3" s="1">
        <v>1</v>
      </c>
      <c r="D3" s="18">
        <v>30</v>
      </c>
      <c r="E3" s="3">
        <v>0.49199999999999999</v>
      </c>
      <c r="F3" s="3">
        <v>0</v>
      </c>
      <c r="G3" s="3">
        <v>0</v>
      </c>
      <c r="H3" s="3">
        <v>7.4999999999999997E-2</v>
      </c>
      <c r="I3" s="3">
        <v>0</v>
      </c>
      <c r="J3" s="3">
        <v>0</v>
      </c>
      <c r="K3" s="4">
        <v>0.27</v>
      </c>
      <c r="L3" s="20">
        <v>29.1</v>
      </c>
      <c r="M3" s="22">
        <f>Table33[[#This Row],[float_right_g]]/SUM(Table33[[#This Row],[float_right_g]:[float_PVC_g]])</f>
        <v>0.86772486772486779</v>
      </c>
      <c r="N3" s="22">
        <f>Table33[[#This Row],[sink_right_g]]/SUM(Table33[[#This Row],[sink_LDPE_g]:[sink_right_g]])</f>
        <v>0.99080694586312568</v>
      </c>
      <c r="O3" s="22">
        <f>(Table33[[#This Row],[purity_float]]+Table33[[#This Row],[purity_sink]])/2</f>
        <v>0.92926590679399679</v>
      </c>
    </row>
    <row r="4" spans="1:15" x14ac:dyDescent="0.25"/>
    <row r="5" spans="1:15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sheetProtection sheet="1" objects="1" scenarios="1"/>
  <phoneticPr fontId="8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tabSelected="1" workbookViewId="0">
      <selection activeCell="A23" sqref="A23"/>
    </sheetView>
  </sheetViews>
  <sheetFormatPr defaultColWidth="12.5703125" defaultRowHeight="15" customHeight="1" x14ac:dyDescent="0.25"/>
  <cols>
    <col min="1" max="1" width="15.85546875" style="24" bestFit="1" customWidth="1"/>
    <col min="2" max="2" width="61.28515625" style="24" bestFit="1" customWidth="1"/>
    <col min="3" max="3" width="6.85546875" style="24" bestFit="1" customWidth="1"/>
    <col min="4" max="4" width="40" style="24" customWidth="1"/>
    <col min="5" max="26" width="8.5703125" style="24" customWidth="1"/>
    <col min="27" max="16384" width="12.5703125" style="24"/>
  </cols>
  <sheetData>
    <row r="1" spans="1:4" ht="18" x14ac:dyDescent="0.25">
      <c r="A1" s="23" t="s">
        <v>37</v>
      </c>
      <c r="B1" s="23"/>
      <c r="C1" s="23"/>
      <c r="D1" s="23"/>
    </row>
    <row r="3" spans="1:4" ht="15" customHeight="1" x14ac:dyDescent="0.25">
      <c r="A3" s="25" t="s">
        <v>1</v>
      </c>
    </row>
    <row r="4" spans="1:4" ht="15" customHeight="1" x14ac:dyDescent="0.25">
      <c r="A4" s="26" t="s">
        <v>22</v>
      </c>
      <c r="B4" s="26"/>
      <c r="C4" s="26"/>
      <c r="D4" s="26"/>
    </row>
    <row r="5" spans="1:4" ht="15" customHeight="1" x14ac:dyDescent="0.25">
      <c r="A5" s="27" t="s">
        <v>23</v>
      </c>
      <c r="B5" s="27"/>
      <c r="C5" s="27"/>
      <c r="D5" s="27"/>
    </row>
    <row r="7" spans="1:4" ht="15" customHeight="1" x14ac:dyDescent="0.25">
      <c r="A7" s="25" t="s">
        <v>24</v>
      </c>
    </row>
    <row r="8" spans="1:4" ht="15" customHeight="1" x14ac:dyDescent="0.25">
      <c r="A8" s="28" t="s">
        <v>3</v>
      </c>
      <c r="B8" s="29" t="s">
        <v>2</v>
      </c>
      <c r="C8" s="30" t="s">
        <v>4</v>
      </c>
    </row>
    <row r="9" spans="1:4" ht="15" customHeight="1" x14ac:dyDescent="0.25">
      <c r="A9" s="5" t="s">
        <v>0</v>
      </c>
      <c r="B9" s="1" t="s">
        <v>5</v>
      </c>
      <c r="C9" s="1" t="s">
        <v>6</v>
      </c>
    </row>
    <row r="10" spans="1:4" ht="15" customHeight="1" x14ac:dyDescent="0.25">
      <c r="A10" s="5" t="s">
        <v>15</v>
      </c>
      <c r="B10" s="1" t="s">
        <v>25</v>
      </c>
      <c r="C10" s="1" t="s">
        <v>6</v>
      </c>
    </row>
    <row r="11" spans="1:4" ht="15" customHeight="1" x14ac:dyDescent="0.25">
      <c r="A11" s="31" t="s">
        <v>7</v>
      </c>
      <c r="B11" s="32" t="s">
        <v>26</v>
      </c>
      <c r="C11" s="1" t="s">
        <v>6</v>
      </c>
    </row>
    <row r="12" spans="1:4" ht="15" customHeight="1" x14ac:dyDescent="0.25">
      <c r="A12" s="6" t="s">
        <v>8</v>
      </c>
      <c r="B12" s="2" t="s">
        <v>27</v>
      </c>
      <c r="C12" s="2" t="s">
        <v>28</v>
      </c>
    </row>
    <row r="13" spans="1:4" ht="15" customHeight="1" x14ac:dyDescent="0.25">
      <c r="A13" s="7" t="s">
        <v>9</v>
      </c>
      <c r="B13" s="3" t="s">
        <v>29</v>
      </c>
      <c r="C13" s="3" t="s">
        <v>28</v>
      </c>
    </row>
    <row r="14" spans="1:4" ht="15" customHeight="1" x14ac:dyDescent="0.25">
      <c r="A14" s="7" t="s">
        <v>17</v>
      </c>
      <c r="B14" s="3" t="s">
        <v>30</v>
      </c>
      <c r="C14" s="3" t="s">
        <v>28</v>
      </c>
    </row>
    <row r="15" spans="1:4" ht="15" customHeight="1" x14ac:dyDescent="0.25">
      <c r="A15" s="7" t="s">
        <v>18</v>
      </c>
      <c r="B15" s="3" t="s">
        <v>31</v>
      </c>
      <c r="C15" s="3" t="s">
        <v>28</v>
      </c>
    </row>
    <row r="16" spans="1:4" ht="15" customHeight="1" x14ac:dyDescent="0.25">
      <c r="A16" s="7" t="s">
        <v>10</v>
      </c>
      <c r="B16" s="3" t="s">
        <v>32</v>
      </c>
      <c r="C16" s="3" t="s">
        <v>28</v>
      </c>
    </row>
    <row r="17" spans="1:3" ht="15" customHeight="1" x14ac:dyDescent="0.25">
      <c r="A17" s="7" t="s">
        <v>11</v>
      </c>
      <c r="B17" s="3" t="s">
        <v>33</v>
      </c>
      <c r="C17" s="3" t="s">
        <v>28</v>
      </c>
    </row>
    <row r="18" spans="1:3" ht="15" customHeight="1" x14ac:dyDescent="0.25">
      <c r="A18" s="7" t="s">
        <v>12</v>
      </c>
      <c r="B18" s="3" t="s">
        <v>34</v>
      </c>
      <c r="C18" s="3" t="s">
        <v>28</v>
      </c>
    </row>
    <row r="19" spans="1:3" ht="15.75" customHeight="1" x14ac:dyDescent="0.25">
      <c r="A19" s="8" t="s">
        <v>14</v>
      </c>
      <c r="B19" s="4" t="s">
        <v>35</v>
      </c>
      <c r="C19" s="4" t="s">
        <v>28</v>
      </c>
    </row>
    <row r="20" spans="1:3" ht="15.75" customHeight="1" x14ac:dyDescent="0.25">
      <c r="A20" s="8" t="s">
        <v>13</v>
      </c>
      <c r="B20" s="9" t="s">
        <v>36</v>
      </c>
      <c r="C20" s="4" t="s">
        <v>28</v>
      </c>
    </row>
    <row r="21" spans="1:3" ht="15.75" customHeight="1" x14ac:dyDescent="0.25">
      <c r="A21" s="33" t="s">
        <v>19</v>
      </c>
      <c r="B21" s="34" t="s">
        <v>38</v>
      </c>
      <c r="C21" s="35" t="s">
        <v>39</v>
      </c>
    </row>
    <row r="22" spans="1:3" ht="15.75" customHeight="1" x14ac:dyDescent="0.25">
      <c r="A22" s="33" t="s">
        <v>20</v>
      </c>
      <c r="B22" s="34" t="s">
        <v>40</v>
      </c>
      <c r="C22" s="35" t="s">
        <v>39</v>
      </c>
    </row>
    <row r="23" spans="1:3" ht="15.75" customHeight="1" x14ac:dyDescent="0.25">
      <c r="A23" s="36" t="s">
        <v>21</v>
      </c>
      <c r="B23" s="37" t="s">
        <v>41</v>
      </c>
      <c r="C23" s="38" t="s">
        <v>39</v>
      </c>
    </row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">
    <mergeCell ref="A1:D1"/>
    <mergeCell ref="A4:D4"/>
    <mergeCell ref="A5:D5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general_info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Prinz</dc:creator>
  <cp:lastModifiedBy>S Prinz</cp:lastModifiedBy>
  <dcterms:created xsi:type="dcterms:W3CDTF">2025-05-23T08:24:27Z</dcterms:created>
  <dcterms:modified xsi:type="dcterms:W3CDTF">2025-12-22T19:20:25Z</dcterms:modified>
</cp:coreProperties>
</file>