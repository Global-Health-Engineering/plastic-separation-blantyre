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prinz\Desktop\msc-published_data\data\derived_data\"/>
    </mc:Choice>
  </mc:AlternateContent>
  <xr:revisionPtr revIDLastSave="0" documentId="13_ncr:1_{16F34F1F-9D43-4E7F-B6D0-E73F3D4EB2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valuation" sheetId="3" r:id="rId1"/>
    <sheet name="general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ZaLbGlAsG6H6Ni+Ai3tDTKQ54zGasfV71Dg4FUNi2M="/>
    </ext>
  </extLst>
</workbook>
</file>

<file path=xl/calcChain.xml><?xml version="1.0" encoding="utf-8"?>
<calcChain xmlns="http://schemas.openxmlformats.org/spreadsheetml/2006/main">
  <c r="W16" i="3" l="1"/>
  <c r="W8" i="3"/>
  <c r="W9" i="3"/>
  <c r="W14" i="3"/>
  <c r="W11" i="3"/>
  <c r="W10" i="3"/>
  <c r="W12" i="3"/>
  <c r="W3" i="3"/>
  <c r="W2" i="3"/>
  <c r="W15" i="3"/>
  <c r="W5" i="3"/>
  <c r="W7" i="3"/>
  <c r="W13" i="3"/>
  <c r="W6" i="3"/>
  <c r="W4" i="3"/>
  <c r="V16" i="3"/>
  <c r="V8" i="3"/>
  <c r="V9" i="3"/>
  <c r="V14" i="3"/>
  <c r="V11" i="3"/>
  <c r="V10" i="3"/>
  <c r="V12" i="3"/>
  <c r="V3" i="3"/>
  <c r="V2" i="3"/>
  <c r="V15" i="3"/>
  <c r="V5" i="3"/>
  <c r="V7" i="3"/>
  <c r="V13" i="3"/>
  <c r="V6" i="3"/>
  <c r="V4" i="3"/>
  <c r="X3" i="3" l="1"/>
  <c r="X14" i="3"/>
  <c r="X7" i="3"/>
  <c r="X12" i="3"/>
  <c r="X4" i="3"/>
  <c r="X9" i="3"/>
  <c r="X6" i="3"/>
  <c r="X10" i="3"/>
  <c r="X13" i="3"/>
  <c r="X11" i="3"/>
  <c r="X15" i="3"/>
  <c r="X8" i="3"/>
  <c r="X2" i="3"/>
  <c r="X16" i="3"/>
  <c r="X5" i="3"/>
</calcChain>
</file>

<file path=xl/sharedStrings.xml><?xml version="1.0" encoding="utf-8"?>
<sst xmlns="http://schemas.openxmlformats.org/spreadsheetml/2006/main" count="149" uniqueCount="70">
  <si>
    <t>id</t>
  </si>
  <si>
    <t>Assumption:</t>
  </si>
  <si>
    <t>description</t>
  </si>
  <si>
    <t>variable</t>
  </si>
  <si>
    <t>unit</t>
  </si>
  <si>
    <t>Unique identifier of observation</t>
  </si>
  <si>
    <t>-</t>
  </si>
  <si>
    <t>run</t>
  </si>
  <si>
    <t>d</t>
  </si>
  <si>
    <t>in_tot_g</t>
  </si>
  <si>
    <t>in_PVC_g</t>
  </si>
  <si>
    <t>in_PP_g</t>
  </si>
  <si>
    <t>in_LDPE_g</t>
  </si>
  <si>
    <t>in_HDPE_g</t>
  </si>
  <si>
    <t>in_PS_g</t>
  </si>
  <si>
    <t>in_PET_g</t>
  </si>
  <si>
    <t>float_right_g</t>
  </si>
  <si>
    <t>float_PS_g</t>
  </si>
  <si>
    <t>float_PET_g</t>
  </si>
  <si>
    <t>float_PVC_g</t>
  </si>
  <si>
    <t>sink_right_g</t>
  </si>
  <si>
    <t>sink_PP_g</t>
  </si>
  <si>
    <t>sink_LDPE_g</t>
  </si>
  <si>
    <t>sink_HDPE_g</t>
  </si>
  <si>
    <t>sep_sol_id</t>
  </si>
  <si>
    <t>sep_sol</t>
  </si>
  <si>
    <t>a</t>
  </si>
  <si>
    <t>b</t>
  </si>
  <si>
    <t>c</t>
  </si>
  <si>
    <t>tap water</t>
  </si>
  <si>
    <t>stir_method_id</t>
  </si>
  <si>
    <t>stir_method</t>
  </si>
  <si>
    <t>tap water + detergent</t>
  </si>
  <si>
    <t>tap water + CaCl2</t>
  </si>
  <si>
    <t>tap water + NaCl</t>
  </si>
  <si>
    <t>none</t>
  </si>
  <si>
    <t>slow (300rpm)</t>
  </si>
  <si>
    <t>vigorous (turbulent)</t>
  </si>
  <si>
    <t>purity_float</t>
  </si>
  <si>
    <t>purity_sink</t>
  </si>
  <si>
    <t>combined_purity</t>
  </si>
  <si>
    <t>For each output, the total mass of correctly assigned flakes, and the mass for each incorrectly assigned material is recorded.</t>
  </si>
  <si>
    <t>Data dictionary:</t>
  </si>
  <si>
    <t>Unique identifier of separation solution used for observation</t>
  </si>
  <si>
    <t>Description of separation solution used for observation</t>
  </si>
  <si>
    <t>Unique identifier of stirring method used for observation</t>
  </si>
  <si>
    <t>Description of stirring method used for observation</t>
  </si>
  <si>
    <t>Number of repetiton for combination of sep_sol and stir_method</t>
  </si>
  <si>
    <t>Mass of PP added to input plastic (theoretical)</t>
  </si>
  <si>
    <t>g</t>
  </si>
  <si>
    <t>Mass of LDPE added to input plastic (theoretical)</t>
  </si>
  <si>
    <t>Mass of HDPE added to input plastic (theoretical)</t>
  </si>
  <si>
    <t>Mass of PS added to input plastic (theoretical)</t>
  </si>
  <si>
    <t>Mass of PET added to input plastic (theoretical)</t>
  </si>
  <si>
    <t>Mass of PVC added to input plastic (theoretical)</t>
  </si>
  <si>
    <t>Total mass of plastic flakes in input plastic (measured)</t>
  </si>
  <si>
    <t>Measured mass of plastic flakes correctly assigned to float fraction</t>
  </si>
  <si>
    <t>Measured mass of PS flakes misclassified to float fraction</t>
  </si>
  <si>
    <t>Measured mass of PET flakes misclassified to float fraction</t>
  </si>
  <si>
    <t>Measured mass of PVC flakes misclassified to float fraction</t>
  </si>
  <si>
    <t>Measured mass of PP flakes misclassified to sink fraction</t>
  </si>
  <si>
    <t>Measured mass of LDPE flakes misclassified to sink fraction</t>
  </si>
  <si>
    <t>Measured mass of HDPE flakes misclassified to sink fraction</t>
  </si>
  <si>
    <t>Measured mass of plastic flakes correctly assigned to sink fraction</t>
  </si>
  <si>
    <t>%</t>
  </si>
  <si>
    <t>Calculated purity of the float fraction</t>
  </si>
  <si>
    <t>Calculated purity of the sink fraction</t>
  </si>
  <si>
    <t>Combined purity (average of purity_float and purity_sink)</t>
  </si>
  <si>
    <t>Data evaluation sheet for test 01 "Sink-float separation - Proof of concept"</t>
  </si>
  <si>
    <t>The sorting step that is tested during the recording of an observation has two possible outputs (sink and float).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</si>
</sst>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8"/>
      <name val="Aptos Narrow"/>
      <scheme val="minor"/>
    </font>
    <font>
      <sz val="11"/>
      <color rgb="FF000000"/>
      <name val="Aptos Narrow"/>
    </font>
    <font>
      <b/>
      <sz val="11"/>
      <name val="Aptos Narrow"/>
    </font>
    <font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F6C6AC"/>
        <bgColor indexed="64"/>
      </patternFill>
    </fill>
    <fill>
      <patternFill patternType="solid">
        <fgColor rgb="FFFAE2D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7">
    <xf numFmtId="0" fontId="0" fillId="0" borderId="0" xfId="0" applyFont="1" applyAlignment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10" borderId="1" xfId="0" applyFont="1" applyFill="1" applyBorder="1"/>
    <xf numFmtId="0" fontId="2" fillId="7" borderId="5" xfId="0" applyFont="1" applyFill="1" applyBorder="1"/>
    <xf numFmtId="0" fontId="2" fillId="7" borderId="8" xfId="0" applyFont="1" applyFill="1" applyBorder="1"/>
    <xf numFmtId="0" fontId="2" fillId="9" borderId="8" xfId="0" applyFont="1" applyFill="1" applyBorder="1"/>
    <xf numFmtId="0" fontId="2" fillId="10" borderId="8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3" borderId="7" xfId="0" applyFont="1" applyFill="1" applyBorder="1"/>
    <xf numFmtId="0" fontId="6" fillId="4" borderId="7" xfId="0" applyFont="1" applyFill="1" applyBorder="1"/>
    <xf numFmtId="0" fontId="6" fillId="5" borderId="7" xfId="0" applyFont="1" applyFill="1" applyBorder="1"/>
    <xf numFmtId="0" fontId="7" fillId="0" borderId="0" xfId="0" applyFont="1" applyAlignment="1"/>
    <xf numFmtId="0" fontId="4" fillId="7" borderId="1" xfId="0" applyFont="1" applyFill="1" applyBorder="1" applyAlignment="1"/>
    <xf numFmtId="0" fontId="4" fillId="9" borderId="1" xfId="0" applyFont="1" applyFill="1" applyBorder="1" applyAlignment="1"/>
    <xf numFmtId="0" fontId="4" fillId="10" borderId="1" xfId="0" applyFont="1" applyFill="1" applyBorder="1" applyAlignment="1"/>
    <xf numFmtId="0" fontId="4" fillId="7" borderId="1" xfId="0" applyFont="1" applyFill="1" applyBorder="1"/>
    <xf numFmtId="0" fontId="4" fillId="7" borderId="8" xfId="0" applyFont="1" applyFill="1" applyBorder="1"/>
    <xf numFmtId="164" fontId="2" fillId="8" borderId="1" xfId="0" applyNumberFormat="1" applyFont="1" applyFill="1" applyBorder="1"/>
    <xf numFmtId="164" fontId="2" fillId="8" borderId="8" xfId="0" applyNumberFormat="1" applyFont="1" applyFill="1" applyBorder="1"/>
    <xf numFmtId="164" fontId="4" fillId="8" borderId="1" xfId="0" applyNumberFormat="1" applyFont="1" applyFill="1" applyBorder="1" applyAlignment="1"/>
    <xf numFmtId="0" fontId="10" fillId="6" borderId="7" xfId="0" applyFont="1" applyFill="1" applyBorder="1" applyAlignment="1"/>
    <xf numFmtId="0" fontId="4" fillId="7" borderId="8" xfId="0" applyFont="1" applyFill="1" applyBorder="1" applyAlignment="1"/>
    <xf numFmtId="10" fontId="9" fillId="11" borderId="7" xfId="1" applyNumberFormat="1" applyFont="1" applyFill="1" applyBorder="1" applyAlignment="1"/>
    <xf numFmtId="10" fontId="9" fillId="11" borderId="1" xfId="1" applyNumberFormat="1" applyFont="1" applyFill="1" applyBorder="1" applyAlignment="1"/>
    <xf numFmtId="10" fontId="9" fillId="11" borderId="8" xfId="1" applyNumberFormat="1" applyFont="1" applyFill="1" applyBorder="1" applyAlignment="1"/>
    <xf numFmtId="0" fontId="0" fillId="0" borderId="0" xfId="0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2" borderId="12" xfId="0" applyFill="1" applyBorder="1"/>
    <xf numFmtId="0" fontId="0" fillId="7" borderId="9" xfId="0" applyFill="1" applyBorder="1"/>
    <xf numFmtId="0" fontId="0" fillId="12" borderId="11" xfId="0" applyFont="1" applyFill="1" applyBorder="1" applyAlignment="1"/>
    <xf numFmtId="0" fontId="0" fillId="13" borderId="13" xfId="0" applyFont="1" applyFill="1" applyBorder="1" applyAlignment="1"/>
    <xf numFmtId="0" fontId="0" fillId="13" borderId="10" xfId="0" applyFont="1" applyFill="1" applyBorder="1" applyAlignment="1"/>
    <xf numFmtId="0" fontId="5" fillId="0" borderId="0" xfId="0" applyFont="1"/>
    <xf numFmtId="0" fontId="1" fillId="0" borderId="0" xfId="0" applyFont="1"/>
    <xf numFmtId="0" fontId="0" fillId="0" borderId="0" xfId="0"/>
    <xf numFmtId="0" fontId="0" fillId="12" borderId="11" xfId="0" applyFill="1" applyBorder="1"/>
  </cellXfs>
  <cellStyles count="2">
    <cellStyle name="Normal" xfId="0" builtinId="0"/>
    <cellStyle name="Percent" xfId="1" builtinId="5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F1CEEE"/>
          <bgColor rgb="FFF1CEEE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AEDFB"/>
          <bgColor rgb="FFCAEDFB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0.0"/>
      <fill>
        <patternFill patternType="solid">
          <fgColor rgb="FFC1F0C8"/>
          <bgColor rgb="FFC1F0C8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FAE2D5"/>
          <bgColor rgb="FFFAE2D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F6C6AC"/>
          <bgColor rgb="FFF6C6AC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AE2D5"/>
      <color rgb="FFF6C6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4A6907-639D-41FA-BC9C-8B2C2A5F347E}" name="Table33" displayName="Table33" ref="A1:X16" totalsRowShown="0" headerRowDxfId="35" dataDxfId="33" headerRowBorderDxfId="34" tableBorderDxfId="32" totalsRowBorderDxfId="31">
  <autoFilter ref="A1:X16" xr:uid="{A646DC29-CDD2-4BA3-B783-ED282316E5B1}"/>
  <sortState xmlns:xlrd2="http://schemas.microsoft.com/office/spreadsheetml/2017/richdata2" ref="A2:X16">
    <sortCondition descending="1" ref="X1:X16"/>
  </sortState>
  <tableColumns count="24">
    <tableColumn id="1" xr3:uid="{DC2D6802-1361-4974-943E-B643443F0C0A}" name="id" dataDxfId="30"/>
    <tableColumn id="25" xr3:uid="{F67CEDDC-CBE8-487D-B1E8-CE2D97865B2F}" name="sep_sol_id" dataDxfId="29"/>
    <tableColumn id="26" xr3:uid="{A3BFD67E-9EE0-439C-8640-5B97B9F666F7}" name="stir_method_id" dataDxfId="28"/>
    <tableColumn id="30" xr3:uid="{040D4C9A-B8CD-4D28-A92F-9A4D2D6A5F43}" name="sep_sol" dataDxfId="27"/>
    <tableColumn id="23" xr3:uid="{1461623D-766C-4E81-B779-1DDF4F932167}" name="stir_method" dataDxfId="26"/>
    <tableColumn id="3" xr3:uid="{68EEFB8B-BD52-45D3-8DB8-B9EF4C663E92}" name="run" dataDxfId="25"/>
    <tableColumn id="4" xr3:uid="{E0C1823B-2CEC-4B62-AFEC-E2EEBB350EAF}" name="in_PP_g" dataDxfId="24"/>
    <tableColumn id="5" xr3:uid="{B328E961-8342-45C7-A1AC-1D769E6EB5A9}" name="in_LDPE_g" dataDxfId="23"/>
    <tableColumn id="6" xr3:uid="{C523D1C8-83FF-41B1-8B31-6088AAF05690}" name="in_HDPE_g" dataDxfId="22"/>
    <tableColumn id="7" xr3:uid="{009ACD25-EF0A-4CE5-A974-76F94622A7FD}" name="in_PS_g" dataDxfId="21"/>
    <tableColumn id="8" xr3:uid="{320C776F-BC8F-45D5-A35A-016ED12F83B8}" name="in_PET_g" dataDxfId="20"/>
    <tableColumn id="20" xr3:uid="{96DCD814-58D0-48C8-AF16-93DCD1A38F0A}" name="in_PVC_g" dataDxfId="19"/>
    <tableColumn id="9" xr3:uid="{85424A96-BAF0-4612-AFC0-49A218F2241E}" name="in_tot_g" dataDxfId="18"/>
    <tableColumn id="10" xr3:uid="{1C25D208-90E5-4A1D-89F0-27AE7B0510AB}" name="float_right_g" dataDxfId="17"/>
    <tableColumn id="11" xr3:uid="{716795FC-8A64-40C0-8F83-2EDDE13191C6}" name="float_PS_g" dataDxfId="16"/>
    <tableColumn id="21" xr3:uid="{0C3E233E-9CC5-4B7E-BCA5-DB5CD3D1126F}" name="float_PET_g" dataDxfId="15"/>
    <tableColumn id="12" xr3:uid="{711A1348-3FB9-4C7D-A1D0-C88E22632A3C}" name="float_PVC_g" dataDxfId="14"/>
    <tableColumn id="13" xr3:uid="{66927C1F-F3A9-464C-8D8C-7EBD0773A87F}" name="sink_PP_g" dataDxfId="13"/>
    <tableColumn id="14" xr3:uid="{D8F71F66-4B41-4934-B46F-C069081811BD}" name="sink_LDPE_g" dataDxfId="12"/>
    <tableColumn id="22" xr3:uid="{72702F06-7226-4C9D-962A-E052E504D8C0}" name="sink_HDPE_g" dataDxfId="11"/>
    <tableColumn id="15" xr3:uid="{4084D83C-F959-4112-B79A-B3F1A0542B0C}" name="sink_right_g" dataDxfId="10"/>
    <tableColumn id="2" xr3:uid="{302C8073-17F1-4286-9EC3-7C45C10FD9AB}" name="purity_float" dataDxfId="9" dataCellStyle="Percent">
      <calculatedColumnFormula>Table33[[#This Row],[float_right_g]]/SUM(Table33[[#This Row],[float_right_g]:[float_PVC_g]])</calculatedColumnFormula>
    </tableColumn>
    <tableColumn id="17" xr3:uid="{8FEBB94C-B25D-41E3-8A4B-5F9B9D9366B5}" name="purity_sink" dataDxfId="8" dataCellStyle="Percent">
      <calculatedColumnFormula>Table33[[#This Row],[sink_right_g]]/SUM(Table33[[#This Row],[sink_PP_g]:[sink_right_g]])</calculatedColumnFormula>
    </tableColumn>
    <tableColumn id="28" xr3:uid="{4E2B2682-4654-427D-994D-8024879278BD}" name="combined_purity" dataDxfId="7" dataCellStyle="Percent">
      <calculatedColumnFormula>(Table33[[#This Row],[purity_float]]+Table33[[#This Row],[purity_sink]])/2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F42AAA-9044-46BC-AB37-D15B8B194A2C}" name="Table15" displayName="Table15" ref="A8:C32" totalsRowShown="0" headerRowDxfId="6" headerRowBorderDxfId="5" tableBorderDxfId="4" totalsRowBorderDxfId="3">
  <autoFilter ref="A8:C32" xr:uid="{B1F42AAA-9044-46BC-AB37-D15B8B194A2C}"/>
  <tableColumns count="3">
    <tableColumn id="1" xr3:uid="{40448934-A5BE-4954-9020-6C1B0857972A}" name="variable" dataDxfId="2"/>
    <tableColumn id="2" xr3:uid="{49D863BA-0340-4436-B5CA-D04AA8B93FCC}" name="description" dataDxfId="1"/>
    <tableColumn id="3" xr3:uid="{1390F4B9-EFF1-4EE7-880C-7A4E1F1FE787}" name="uni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224-63E0-427F-B9D9-553C9E08FE8B}">
  <dimension ref="A1:X999"/>
  <sheetViews>
    <sheetView workbookViewId="0">
      <pane xSplit="3" ySplit="1" topLeftCell="M2" activePane="bottomRight" state="frozen"/>
      <selection pane="topRight" activeCell="D1" sqref="D1"/>
      <selection pane="bottomLeft" activeCell="A2" sqref="A2"/>
      <selection pane="bottomRight" activeCell="W13" sqref="W13"/>
    </sheetView>
  </sheetViews>
  <sheetFormatPr defaultColWidth="12.5703125" defaultRowHeight="15" customHeight="1" x14ac:dyDescent="0.25"/>
  <cols>
    <col min="1" max="1" width="5" customWidth="1"/>
    <col min="2" max="2" width="3.7109375" customWidth="1"/>
    <col min="3" max="3" width="3.85546875" customWidth="1"/>
    <col min="4" max="4" width="16.85546875" customWidth="1"/>
    <col min="5" max="5" width="18.7109375" bestFit="1" customWidth="1"/>
    <col min="6" max="6" width="6.28515625" bestFit="1" customWidth="1"/>
    <col min="7" max="7" width="10" bestFit="1" customWidth="1"/>
    <col min="8" max="8" width="12.42578125" bestFit="1" customWidth="1"/>
    <col min="9" max="9" width="12.85546875" bestFit="1" customWidth="1"/>
    <col min="10" max="10" width="10" bestFit="1" customWidth="1"/>
    <col min="11" max="11" width="11" bestFit="1" customWidth="1"/>
    <col min="12" max="12" width="11.42578125" bestFit="1" customWidth="1"/>
    <col min="13" max="13" width="10.28515625" bestFit="1" customWidth="1"/>
    <col min="14" max="14" width="14.28515625" bestFit="1" customWidth="1"/>
    <col min="15" max="15" width="12.42578125" bestFit="1" customWidth="1"/>
    <col min="16" max="16" width="13.42578125" bestFit="1" customWidth="1"/>
    <col min="17" max="17" width="13.85546875" bestFit="1" customWidth="1"/>
    <col min="18" max="18" width="12" bestFit="1" customWidth="1"/>
    <col min="19" max="19" width="14.42578125" bestFit="1" customWidth="1"/>
    <col min="20" max="20" width="14.85546875" bestFit="1" customWidth="1"/>
    <col min="21" max="21" width="13.85546875" bestFit="1" customWidth="1"/>
    <col min="22" max="22" width="13.5703125" bestFit="1" customWidth="1"/>
    <col min="23" max="23" width="13.140625" bestFit="1" customWidth="1"/>
    <col min="24" max="24" width="18.5703125" bestFit="1" customWidth="1"/>
    <col min="25" max="25" width="9.28515625" customWidth="1"/>
  </cols>
  <sheetData>
    <row r="1" spans="1:24" s="19" customFormat="1" x14ac:dyDescent="0.25">
      <c r="A1" s="14" t="s">
        <v>0</v>
      </c>
      <c r="B1" s="15" t="s">
        <v>24</v>
      </c>
      <c r="C1" s="15" t="s">
        <v>30</v>
      </c>
      <c r="D1" s="15" t="s">
        <v>25</v>
      </c>
      <c r="E1" s="15" t="s">
        <v>31</v>
      </c>
      <c r="F1" s="15" t="s">
        <v>7</v>
      </c>
      <c r="G1" s="16" t="s">
        <v>11</v>
      </c>
      <c r="H1" s="16" t="s">
        <v>12</v>
      </c>
      <c r="I1" s="16" t="s">
        <v>13</v>
      </c>
      <c r="J1" s="16" t="s">
        <v>14</v>
      </c>
      <c r="K1" s="16" t="s">
        <v>15</v>
      </c>
      <c r="L1" s="16" t="s">
        <v>10</v>
      </c>
      <c r="M1" s="16" t="s">
        <v>9</v>
      </c>
      <c r="N1" s="17" t="s">
        <v>16</v>
      </c>
      <c r="O1" s="17" t="s">
        <v>17</v>
      </c>
      <c r="P1" s="17" t="s">
        <v>18</v>
      </c>
      <c r="Q1" s="17" t="s">
        <v>19</v>
      </c>
      <c r="R1" s="18" t="s">
        <v>21</v>
      </c>
      <c r="S1" s="18" t="s">
        <v>22</v>
      </c>
      <c r="T1" s="18" t="s">
        <v>23</v>
      </c>
      <c r="U1" s="18" t="s">
        <v>20</v>
      </c>
      <c r="V1" s="28" t="s">
        <v>38</v>
      </c>
      <c r="W1" s="28" t="s">
        <v>39</v>
      </c>
      <c r="X1" s="28" t="s">
        <v>40</v>
      </c>
    </row>
    <row r="2" spans="1:24" x14ac:dyDescent="0.25">
      <c r="A2" s="10">
        <v>9</v>
      </c>
      <c r="B2" s="23" t="s">
        <v>27</v>
      </c>
      <c r="C2" s="23">
        <v>3</v>
      </c>
      <c r="D2" s="23" t="s">
        <v>32</v>
      </c>
      <c r="E2" s="23" t="s">
        <v>37</v>
      </c>
      <c r="F2" s="1">
        <v>1</v>
      </c>
      <c r="G2" s="25">
        <v>0.6</v>
      </c>
      <c r="H2" s="25">
        <v>0.2</v>
      </c>
      <c r="I2" s="25">
        <v>2</v>
      </c>
      <c r="J2" s="25">
        <v>2.4</v>
      </c>
      <c r="K2" s="25">
        <v>2.7</v>
      </c>
      <c r="L2" s="25">
        <v>1.7</v>
      </c>
      <c r="M2" s="25">
        <v>9.4</v>
      </c>
      <c r="N2" s="3">
        <v>2.61</v>
      </c>
      <c r="O2" s="3">
        <v>0</v>
      </c>
      <c r="P2" s="3">
        <v>0</v>
      </c>
      <c r="Q2" s="3">
        <v>0</v>
      </c>
      <c r="R2" s="4">
        <v>0</v>
      </c>
      <c r="S2" s="4">
        <v>3.0000000000000001E-3</v>
      </c>
      <c r="T2" s="4">
        <v>0</v>
      </c>
      <c r="U2" s="4">
        <v>6.7</v>
      </c>
      <c r="V2" s="30">
        <f>Table33[[#This Row],[float_right_g]]/SUM(Table33[[#This Row],[float_right_g]:[float_PVC_g]])</f>
        <v>1</v>
      </c>
      <c r="W2" s="30">
        <f>Table33[[#This Row],[sink_right_g]]/SUM(Table33[[#This Row],[sink_PP_g]:[sink_right_g]])</f>
        <v>0.99955243920632553</v>
      </c>
      <c r="X2" s="30">
        <f>(Table33[[#This Row],[purity_float]]+Table33[[#This Row],[purity_sink]])/2</f>
        <v>0.99977621960316276</v>
      </c>
    </row>
    <row r="3" spans="1:24" x14ac:dyDescent="0.25">
      <c r="A3" s="10">
        <v>8</v>
      </c>
      <c r="B3" s="23" t="s">
        <v>27</v>
      </c>
      <c r="C3" s="23">
        <v>2</v>
      </c>
      <c r="D3" s="23" t="s">
        <v>32</v>
      </c>
      <c r="E3" s="23" t="s">
        <v>36</v>
      </c>
      <c r="F3" s="1">
        <v>1</v>
      </c>
      <c r="G3" s="25">
        <v>0.6</v>
      </c>
      <c r="H3" s="25">
        <v>0.2</v>
      </c>
      <c r="I3" s="25">
        <v>2</v>
      </c>
      <c r="J3" s="25">
        <v>2.4</v>
      </c>
      <c r="K3" s="25">
        <v>2.7</v>
      </c>
      <c r="L3" s="25">
        <v>1.7</v>
      </c>
      <c r="M3" s="25">
        <v>9.4</v>
      </c>
      <c r="N3" s="3">
        <v>2.91</v>
      </c>
      <c r="O3" s="3">
        <v>1E-4</v>
      </c>
      <c r="P3" s="3">
        <v>0</v>
      </c>
      <c r="Q3" s="3">
        <v>0</v>
      </c>
      <c r="R3" s="4">
        <v>0</v>
      </c>
      <c r="S3" s="4">
        <v>0.01</v>
      </c>
      <c r="T3" s="4">
        <v>0</v>
      </c>
      <c r="U3" s="4">
        <v>6.43</v>
      </c>
      <c r="V3" s="31">
        <f>Table33[[#This Row],[float_right_g]]/SUM(Table33[[#This Row],[float_right_g]:[float_PVC_g]])</f>
        <v>0.99996563691969342</v>
      </c>
      <c r="W3" s="31">
        <f>Table33[[#This Row],[sink_right_g]]/SUM(Table33[[#This Row],[sink_PP_g]:[sink_right_g]])</f>
        <v>0.99844720496894412</v>
      </c>
      <c r="X3" s="31">
        <f>(Table33[[#This Row],[purity_float]]+Table33[[#This Row],[purity_sink]])/2</f>
        <v>0.99920642094431877</v>
      </c>
    </row>
    <row r="4" spans="1:24" x14ac:dyDescent="0.25">
      <c r="A4" s="10">
        <v>15</v>
      </c>
      <c r="B4" s="20" t="s">
        <v>8</v>
      </c>
      <c r="C4" s="20">
        <v>3</v>
      </c>
      <c r="D4" s="20" t="s">
        <v>34</v>
      </c>
      <c r="E4" s="20" t="s">
        <v>37</v>
      </c>
      <c r="F4" s="20">
        <v>1</v>
      </c>
      <c r="G4" s="25">
        <v>0.6</v>
      </c>
      <c r="H4" s="25">
        <v>0.2</v>
      </c>
      <c r="I4" s="25">
        <v>2</v>
      </c>
      <c r="J4" s="25">
        <v>2.4</v>
      </c>
      <c r="K4" s="25">
        <v>2.7</v>
      </c>
      <c r="L4" s="25">
        <v>1.7</v>
      </c>
      <c r="M4" s="27">
        <v>9.3000000000000007</v>
      </c>
      <c r="N4" s="21">
        <v>2.79</v>
      </c>
      <c r="O4" s="21">
        <v>0.06</v>
      </c>
      <c r="P4" s="21">
        <v>0</v>
      </c>
      <c r="Q4" s="21">
        <v>0</v>
      </c>
      <c r="R4" s="22">
        <v>0</v>
      </c>
      <c r="S4" s="22">
        <v>0.01</v>
      </c>
      <c r="T4" s="22">
        <v>0</v>
      </c>
      <c r="U4" s="22">
        <v>6.41</v>
      </c>
      <c r="V4" s="31">
        <f>Table33[[#This Row],[float_right_g]]/SUM(Table33[[#This Row],[float_right_g]:[float_PVC_g]])</f>
        <v>0.97894736842105257</v>
      </c>
      <c r="W4" s="31">
        <f>Table33[[#This Row],[sink_right_g]]/SUM(Table33[[#This Row],[sink_PP_g]:[sink_right_g]])</f>
        <v>0.99844236760124616</v>
      </c>
      <c r="X4" s="31">
        <f>(Table33[[#This Row],[purity_float]]+Table33[[#This Row],[purity_sink]])/2</f>
        <v>0.98869486801114936</v>
      </c>
    </row>
    <row r="5" spans="1:24" x14ac:dyDescent="0.25">
      <c r="A5" s="10">
        <v>11</v>
      </c>
      <c r="B5" s="23" t="s">
        <v>28</v>
      </c>
      <c r="C5" s="23">
        <v>2</v>
      </c>
      <c r="D5" s="23" t="s">
        <v>33</v>
      </c>
      <c r="E5" s="23" t="s">
        <v>36</v>
      </c>
      <c r="F5" s="20">
        <v>1</v>
      </c>
      <c r="G5" s="25">
        <v>0.6</v>
      </c>
      <c r="H5" s="25">
        <v>0.2</v>
      </c>
      <c r="I5" s="25">
        <v>2</v>
      </c>
      <c r="J5" s="25">
        <v>2.4</v>
      </c>
      <c r="K5" s="25">
        <v>2.7</v>
      </c>
      <c r="L5" s="25">
        <v>1.7</v>
      </c>
      <c r="M5" s="27">
        <v>9.9</v>
      </c>
      <c r="N5" s="21">
        <v>3.3</v>
      </c>
      <c r="O5" s="21">
        <v>0.14000000000000001</v>
      </c>
      <c r="P5" s="21">
        <v>0.02</v>
      </c>
      <c r="Q5" s="21">
        <v>0</v>
      </c>
      <c r="R5" s="22">
        <v>0</v>
      </c>
      <c r="S5" s="22">
        <v>0</v>
      </c>
      <c r="T5" s="22">
        <v>0</v>
      </c>
      <c r="U5" s="22">
        <v>6.36</v>
      </c>
      <c r="V5" s="31">
        <f>Table33[[#This Row],[float_right_g]]/SUM(Table33[[#This Row],[float_right_g]:[float_PVC_g]])</f>
        <v>0.95375722543352592</v>
      </c>
      <c r="W5" s="31">
        <f>Table33[[#This Row],[sink_right_g]]/SUM(Table33[[#This Row],[sink_PP_g]:[sink_right_g]])</f>
        <v>1</v>
      </c>
      <c r="X5" s="31">
        <f>(Table33[[#This Row],[purity_float]]+Table33[[#This Row],[purity_sink]])/2</f>
        <v>0.97687861271676302</v>
      </c>
    </row>
    <row r="6" spans="1:24" x14ac:dyDescent="0.25">
      <c r="A6" s="10">
        <v>14</v>
      </c>
      <c r="B6" s="20" t="s">
        <v>8</v>
      </c>
      <c r="C6" s="20">
        <v>2</v>
      </c>
      <c r="D6" s="20" t="s">
        <v>34</v>
      </c>
      <c r="E6" s="20" t="s">
        <v>36</v>
      </c>
      <c r="F6" s="20">
        <v>1</v>
      </c>
      <c r="G6" s="25">
        <v>0.6</v>
      </c>
      <c r="H6" s="25">
        <v>0.2</v>
      </c>
      <c r="I6" s="25">
        <v>2</v>
      </c>
      <c r="J6" s="25">
        <v>2.4</v>
      </c>
      <c r="K6" s="25">
        <v>2.7</v>
      </c>
      <c r="L6" s="25">
        <v>1.7</v>
      </c>
      <c r="M6" s="27">
        <v>9.4</v>
      </c>
      <c r="N6" s="21">
        <v>2.62</v>
      </c>
      <c r="O6" s="21">
        <v>0.05</v>
      </c>
      <c r="P6" s="21">
        <v>0.08</v>
      </c>
      <c r="Q6" s="21">
        <v>0</v>
      </c>
      <c r="R6" s="22">
        <v>0</v>
      </c>
      <c r="S6" s="22">
        <v>0</v>
      </c>
      <c r="T6" s="22">
        <v>0</v>
      </c>
      <c r="U6" s="22">
        <v>6.45</v>
      </c>
      <c r="V6" s="31">
        <f>Table33[[#This Row],[float_right_g]]/SUM(Table33[[#This Row],[float_right_g]:[float_PVC_g]])</f>
        <v>0.95272727272727276</v>
      </c>
      <c r="W6" s="31">
        <f>Table33[[#This Row],[sink_right_g]]/SUM(Table33[[#This Row],[sink_PP_g]:[sink_right_g]])</f>
        <v>1</v>
      </c>
      <c r="X6" s="31">
        <f>(Table33[[#This Row],[purity_float]]+Table33[[#This Row],[purity_sink]])/2</f>
        <v>0.97636363636363632</v>
      </c>
    </row>
    <row r="7" spans="1:24" x14ac:dyDescent="0.25">
      <c r="A7" s="10">
        <v>12</v>
      </c>
      <c r="B7" s="23" t="s">
        <v>28</v>
      </c>
      <c r="C7" s="23">
        <v>3</v>
      </c>
      <c r="D7" s="23" t="s">
        <v>33</v>
      </c>
      <c r="E7" s="23" t="s">
        <v>37</v>
      </c>
      <c r="F7" s="20">
        <v>1</v>
      </c>
      <c r="G7" s="25">
        <v>0.6</v>
      </c>
      <c r="H7" s="25">
        <v>0.2</v>
      </c>
      <c r="I7" s="25">
        <v>2</v>
      </c>
      <c r="J7" s="25">
        <v>2.4</v>
      </c>
      <c r="K7" s="25">
        <v>2.7</v>
      </c>
      <c r="L7" s="25">
        <v>1.7</v>
      </c>
      <c r="M7" s="27">
        <v>9.3000000000000007</v>
      </c>
      <c r="N7" s="21">
        <v>2.68</v>
      </c>
      <c r="O7" s="21">
        <v>0.11</v>
      </c>
      <c r="P7" s="21">
        <v>0.03</v>
      </c>
      <c r="Q7" s="21">
        <v>0</v>
      </c>
      <c r="R7" s="22">
        <v>0</v>
      </c>
      <c r="S7" s="22">
        <v>3.0000000000000001E-3</v>
      </c>
      <c r="T7" s="22">
        <v>0</v>
      </c>
      <c r="U7" s="22">
        <v>6.54</v>
      </c>
      <c r="V7" s="31">
        <f>Table33[[#This Row],[float_right_g]]/SUM(Table33[[#This Row],[float_right_g]:[float_PVC_g]])</f>
        <v>0.95035460992907816</v>
      </c>
      <c r="W7" s="31">
        <f>Table33[[#This Row],[sink_right_g]]/SUM(Table33[[#This Row],[sink_PP_g]:[sink_right_g]])</f>
        <v>0.99954149472718934</v>
      </c>
      <c r="X7" s="31">
        <f>(Table33[[#This Row],[purity_float]]+Table33[[#This Row],[purity_sink]])/2</f>
        <v>0.97494805232813375</v>
      </c>
    </row>
    <row r="8" spans="1:24" x14ac:dyDescent="0.25">
      <c r="A8" s="10">
        <v>2</v>
      </c>
      <c r="B8" s="23" t="s">
        <v>26</v>
      </c>
      <c r="C8" s="23">
        <v>2</v>
      </c>
      <c r="D8" s="23" t="s">
        <v>29</v>
      </c>
      <c r="E8" s="23" t="s">
        <v>36</v>
      </c>
      <c r="F8" s="1">
        <v>1</v>
      </c>
      <c r="G8" s="25">
        <v>0.6</v>
      </c>
      <c r="H8" s="25">
        <v>0.2</v>
      </c>
      <c r="I8" s="25">
        <v>2</v>
      </c>
      <c r="J8" s="25">
        <v>2.4</v>
      </c>
      <c r="K8" s="25">
        <v>2.7</v>
      </c>
      <c r="L8" s="25">
        <v>1.7</v>
      </c>
      <c r="M8" s="25">
        <v>9.4</v>
      </c>
      <c r="N8" s="3">
        <v>2.72</v>
      </c>
      <c r="O8" s="3">
        <v>0.12</v>
      </c>
      <c r="P8" s="3">
        <v>0.03</v>
      </c>
      <c r="Q8" s="3">
        <v>0</v>
      </c>
      <c r="R8" s="4">
        <v>0</v>
      </c>
      <c r="S8" s="4">
        <v>0.01</v>
      </c>
      <c r="T8" s="4">
        <v>0</v>
      </c>
      <c r="U8" s="4">
        <v>6.58</v>
      </c>
      <c r="V8" s="31">
        <f>Table33[[#This Row],[float_right_g]]/SUM(Table33[[#This Row],[float_right_g]:[float_PVC_g]])</f>
        <v>0.94773519163763065</v>
      </c>
      <c r="W8" s="31">
        <f>Table33[[#This Row],[sink_right_g]]/SUM(Table33[[#This Row],[sink_PP_g]:[sink_right_g]])</f>
        <v>0.99848254931714719</v>
      </c>
      <c r="X8" s="31">
        <f>(Table33[[#This Row],[purity_float]]+Table33[[#This Row],[purity_sink]])/2</f>
        <v>0.97310887047738892</v>
      </c>
    </row>
    <row r="9" spans="1:24" x14ac:dyDescent="0.25">
      <c r="A9" s="10">
        <v>3</v>
      </c>
      <c r="B9" s="23" t="s">
        <v>26</v>
      </c>
      <c r="C9" s="23">
        <v>3</v>
      </c>
      <c r="D9" s="23" t="s">
        <v>29</v>
      </c>
      <c r="E9" s="23" t="s">
        <v>37</v>
      </c>
      <c r="F9" s="1">
        <v>1</v>
      </c>
      <c r="G9" s="25">
        <v>0.6</v>
      </c>
      <c r="H9" s="25">
        <v>0.2</v>
      </c>
      <c r="I9" s="25">
        <v>2</v>
      </c>
      <c r="J9" s="25">
        <v>2.4</v>
      </c>
      <c r="K9" s="25">
        <v>2.7</v>
      </c>
      <c r="L9" s="25">
        <v>1.7</v>
      </c>
      <c r="M9" s="25">
        <v>9.1999999999999993</v>
      </c>
      <c r="N9" s="3">
        <v>2.59</v>
      </c>
      <c r="O9" s="3">
        <v>0.19</v>
      </c>
      <c r="P9" s="3">
        <v>0</v>
      </c>
      <c r="Q9" s="3">
        <v>0</v>
      </c>
      <c r="R9" s="4">
        <v>0</v>
      </c>
      <c r="S9" s="4">
        <v>3.0000000000000001E-3</v>
      </c>
      <c r="T9" s="4">
        <v>0</v>
      </c>
      <c r="U9" s="4">
        <v>6.39</v>
      </c>
      <c r="V9" s="31">
        <f>Table33[[#This Row],[float_right_g]]/SUM(Table33[[#This Row],[float_right_g]:[float_PVC_g]])</f>
        <v>0.93165467625899279</v>
      </c>
      <c r="W9" s="31">
        <f>Table33[[#This Row],[sink_right_g]]/SUM(Table33[[#This Row],[sink_PP_g]:[sink_right_g]])</f>
        <v>0.99953073674331294</v>
      </c>
      <c r="X9" s="31">
        <f>(Table33[[#This Row],[purity_float]]+Table33[[#This Row],[purity_sink]])/2</f>
        <v>0.96559270650115292</v>
      </c>
    </row>
    <row r="10" spans="1:24" x14ac:dyDescent="0.25">
      <c r="A10" s="10">
        <v>6</v>
      </c>
      <c r="B10" s="29" t="s">
        <v>26</v>
      </c>
      <c r="C10" s="24">
        <v>3</v>
      </c>
      <c r="D10" s="24" t="s">
        <v>29</v>
      </c>
      <c r="E10" s="29" t="s">
        <v>37</v>
      </c>
      <c r="F10" s="11">
        <v>2</v>
      </c>
      <c r="G10" s="25">
        <v>0.6</v>
      </c>
      <c r="H10" s="25">
        <v>0.2</v>
      </c>
      <c r="I10" s="25">
        <v>2</v>
      </c>
      <c r="J10" s="25">
        <v>2.4</v>
      </c>
      <c r="K10" s="25">
        <v>2.7</v>
      </c>
      <c r="L10" s="25">
        <v>1.7</v>
      </c>
      <c r="M10" s="26">
        <v>9.1999999999999993</v>
      </c>
      <c r="N10" s="12">
        <v>2.63</v>
      </c>
      <c r="O10" s="12">
        <v>0.27</v>
      </c>
      <c r="P10" s="12">
        <v>0.01</v>
      </c>
      <c r="Q10" s="12">
        <v>0</v>
      </c>
      <c r="R10" s="13">
        <v>0</v>
      </c>
      <c r="S10" s="13">
        <v>1E-3</v>
      </c>
      <c r="T10" s="13">
        <v>0</v>
      </c>
      <c r="U10" s="13">
        <v>6.28</v>
      </c>
      <c r="V10" s="31">
        <f>Table33[[#This Row],[float_right_g]]/SUM(Table33[[#This Row],[float_right_g]:[float_PVC_g]])</f>
        <v>0.90378006872852235</v>
      </c>
      <c r="W10" s="31">
        <f>Table33[[#This Row],[sink_right_g]]/SUM(Table33[[#This Row],[sink_PP_g]:[sink_right_g]])</f>
        <v>0.99984078968317147</v>
      </c>
      <c r="X10" s="31">
        <f>(Table33[[#This Row],[purity_float]]+Table33[[#This Row],[purity_sink]])/2</f>
        <v>0.95181042920584691</v>
      </c>
    </row>
    <row r="11" spans="1:24" ht="15" customHeight="1" x14ac:dyDescent="0.25">
      <c r="A11" s="10">
        <v>5</v>
      </c>
      <c r="B11" s="20" t="s">
        <v>26</v>
      </c>
      <c r="C11" s="23">
        <v>2</v>
      </c>
      <c r="D11" s="23" t="s">
        <v>29</v>
      </c>
      <c r="E11" s="20" t="s">
        <v>36</v>
      </c>
      <c r="F11" s="1">
        <v>2</v>
      </c>
      <c r="G11" s="25">
        <v>0.6</v>
      </c>
      <c r="H11" s="25">
        <v>0.2</v>
      </c>
      <c r="I11" s="25">
        <v>2</v>
      </c>
      <c r="J11" s="25">
        <v>2.4</v>
      </c>
      <c r="K11" s="25">
        <v>2.7</v>
      </c>
      <c r="L11" s="25">
        <v>1.7</v>
      </c>
      <c r="M11" s="25">
        <v>9.4</v>
      </c>
      <c r="N11" s="3">
        <v>2.63</v>
      </c>
      <c r="O11" s="3">
        <v>0.21</v>
      </c>
      <c r="P11" s="3">
        <v>7.0000000000000007E-2</v>
      </c>
      <c r="Q11" s="3">
        <v>0</v>
      </c>
      <c r="R11" s="4">
        <v>0</v>
      </c>
      <c r="S11" s="4">
        <v>0.01</v>
      </c>
      <c r="T11" s="4">
        <v>0</v>
      </c>
      <c r="U11" s="4">
        <v>6.45</v>
      </c>
      <c r="V11" s="31">
        <f>Table33[[#This Row],[float_right_g]]/SUM(Table33[[#This Row],[float_right_g]:[float_PVC_g]])</f>
        <v>0.90378006872852235</v>
      </c>
      <c r="W11" s="31">
        <f>Table33[[#This Row],[sink_right_g]]/SUM(Table33[[#This Row],[sink_PP_g]:[sink_right_g]])</f>
        <v>0.99845201238390091</v>
      </c>
      <c r="X11" s="31">
        <f>(Table33[[#This Row],[purity_float]]+Table33[[#This Row],[purity_sink]])/2</f>
        <v>0.95111604055621157</v>
      </c>
    </row>
    <row r="12" spans="1:24" ht="15" customHeight="1" x14ac:dyDescent="0.25">
      <c r="A12" s="10">
        <v>7</v>
      </c>
      <c r="B12" s="23" t="s">
        <v>27</v>
      </c>
      <c r="C12" s="23">
        <v>1</v>
      </c>
      <c r="D12" s="23" t="s">
        <v>32</v>
      </c>
      <c r="E12" s="23" t="s">
        <v>35</v>
      </c>
      <c r="F12" s="1">
        <v>1</v>
      </c>
      <c r="G12" s="25">
        <v>0.6</v>
      </c>
      <c r="H12" s="25">
        <v>0.2</v>
      </c>
      <c r="I12" s="25">
        <v>2</v>
      </c>
      <c r="J12" s="25">
        <v>2.4</v>
      </c>
      <c r="K12" s="25">
        <v>2.7</v>
      </c>
      <c r="L12" s="25">
        <v>1.7</v>
      </c>
      <c r="M12" s="25">
        <v>10</v>
      </c>
      <c r="N12" s="3">
        <v>3.36</v>
      </c>
      <c r="O12" s="3">
        <v>0.54</v>
      </c>
      <c r="P12" s="3">
        <v>0.21</v>
      </c>
      <c r="Q12" s="3">
        <v>0</v>
      </c>
      <c r="R12" s="4">
        <v>0</v>
      </c>
      <c r="S12" s="4">
        <v>1E-4</v>
      </c>
      <c r="T12" s="4">
        <v>0</v>
      </c>
      <c r="U12" s="4">
        <v>5.88</v>
      </c>
      <c r="V12" s="31">
        <f>Table33[[#This Row],[float_right_g]]/SUM(Table33[[#This Row],[float_right_g]:[float_PVC_g]])</f>
        <v>0.81751824817518237</v>
      </c>
      <c r="W12" s="31">
        <f>Table33[[#This Row],[sink_right_g]]/SUM(Table33[[#This Row],[sink_PP_g]:[sink_right_g]])</f>
        <v>0.99998299348650532</v>
      </c>
      <c r="X12" s="31">
        <f>(Table33[[#This Row],[purity_float]]+Table33[[#This Row],[purity_sink]])/2</f>
        <v>0.90875062083084379</v>
      </c>
    </row>
    <row r="13" spans="1:24" ht="15" customHeight="1" x14ac:dyDescent="0.25">
      <c r="A13" s="10">
        <v>13</v>
      </c>
      <c r="B13" s="20" t="s">
        <v>8</v>
      </c>
      <c r="C13" s="20">
        <v>1</v>
      </c>
      <c r="D13" s="20" t="s">
        <v>34</v>
      </c>
      <c r="E13" s="20" t="s">
        <v>35</v>
      </c>
      <c r="F13" s="20">
        <v>1</v>
      </c>
      <c r="G13" s="25">
        <v>0.6</v>
      </c>
      <c r="H13" s="25">
        <v>0.2</v>
      </c>
      <c r="I13" s="25">
        <v>2</v>
      </c>
      <c r="J13" s="25">
        <v>2.4</v>
      </c>
      <c r="K13" s="25">
        <v>2.7</v>
      </c>
      <c r="L13" s="25">
        <v>1.7</v>
      </c>
      <c r="M13" s="27">
        <v>9.1999999999999993</v>
      </c>
      <c r="N13" s="21">
        <v>2.69</v>
      </c>
      <c r="O13" s="21">
        <v>1.1000000000000001</v>
      </c>
      <c r="P13" s="21">
        <v>0.72</v>
      </c>
      <c r="Q13" s="21">
        <v>0</v>
      </c>
      <c r="R13" s="22">
        <v>0</v>
      </c>
      <c r="S13" s="22">
        <v>0</v>
      </c>
      <c r="T13" s="22">
        <v>0</v>
      </c>
      <c r="U13" s="22">
        <v>4.5999999999999996</v>
      </c>
      <c r="V13" s="31">
        <f>Table33[[#This Row],[float_right_g]]/SUM(Table33[[#This Row],[float_right_g]:[float_PVC_g]])</f>
        <v>0.59645232815964522</v>
      </c>
      <c r="W13" s="31">
        <f>Table33[[#This Row],[sink_right_g]]/SUM(Table33[[#This Row],[sink_PP_g]:[sink_right_g]])</f>
        <v>1</v>
      </c>
      <c r="X13" s="31">
        <f>(Table33[[#This Row],[purity_float]]+Table33[[#This Row],[purity_sink]])/2</f>
        <v>0.79822616407982261</v>
      </c>
    </row>
    <row r="14" spans="1:24" ht="15" customHeight="1" x14ac:dyDescent="0.25">
      <c r="A14" s="10">
        <v>4</v>
      </c>
      <c r="B14" s="20" t="s">
        <v>26</v>
      </c>
      <c r="C14" s="23">
        <v>1</v>
      </c>
      <c r="D14" s="23" t="s">
        <v>29</v>
      </c>
      <c r="E14" s="20" t="s">
        <v>35</v>
      </c>
      <c r="F14" s="1">
        <v>2</v>
      </c>
      <c r="G14" s="25">
        <v>0.6</v>
      </c>
      <c r="H14" s="25">
        <v>0.2</v>
      </c>
      <c r="I14" s="25">
        <v>2</v>
      </c>
      <c r="J14" s="25">
        <v>2.4</v>
      </c>
      <c r="K14" s="25">
        <v>2.7</v>
      </c>
      <c r="L14" s="25">
        <v>1.7</v>
      </c>
      <c r="M14" s="25">
        <v>9.1999999999999993</v>
      </c>
      <c r="N14" s="3">
        <v>2.75</v>
      </c>
      <c r="O14" s="3">
        <v>1.17</v>
      </c>
      <c r="P14" s="3">
        <v>0.96</v>
      </c>
      <c r="Q14" s="3">
        <v>0.1</v>
      </c>
      <c r="R14" s="4">
        <v>0</v>
      </c>
      <c r="S14" s="4">
        <v>4.0000000000000001E-3</v>
      </c>
      <c r="T14" s="4">
        <v>0</v>
      </c>
      <c r="U14" s="4">
        <v>4.32</v>
      </c>
      <c r="V14" s="31">
        <f>Table33[[#This Row],[float_right_g]]/SUM(Table33[[#This Row],[float_right_g]:[float_PVC_g]])</f>
        <v>0.55220883534136556</v>
      </c>
      <c r="W14" s="31">
        <f>Table33[[#This Row],[sink_right_g]]/SUM(Table33[[#This Row],[sink_PP_g]:[sink_right_g]])</f>
        <v>0.99907493061979658</v>
      </c>
      <c r="X14" s="31">
        <f>(Table33[[#This Row],[purity_float]]+Table33[[#This Row],[purity_sink]])/2</f>
        <v>0.77564188298058112</v>
      </c>
    </row>
    <row r="15" spans="1:24" ht="15" customHeight="1" x14ac:dyDescent="0.25">
      <c r="A15" s="10">
        <v>10</v>
      </c>
      <c r="B15" s="23" t="s">
        <v>28</v>
      </c>
      <c r="C15" s="23">
        <v>1</v>
      </c>
      <c r="D15" s="23" t="s">
        <v>33</v>
      </c>
      <c r="E15" s="23" t="s">
        <v>35</v>
      </c>
      <c r="F15" s="20">
        <v>1</v>
      </c>
      <c r="G15" s="25">
        <v>0.6</v>
      </c>
      <c r="H15" s="25">
        <v>0.2</v>
      </c>
      <c r="I15" s="25">
        <v>2</v>
      </c>
      <c r="J15" s="25">
        <v>2.4</v>
      </c>
      <c r="K15" s="25">
        <v>2.7</v>
      </c>
      <c r="L15" s="25">
        <v>1.7</v>
      </c>
      <c r="M15" s="27">
        <v>9.3000000000000007</v>
      </c>
      <c r="N15" s="21">
        <v>2.64</v>
      </c>
      <c r="O15" s="21">
        <v>1.33</v>
      </c>
      <c r="P15" s="21">
        <v>0.72</v>
      </c>
      <c r="Q15" s="21">
        <v>0.19</v>
      </c>
      <c r="R15" s="22">
        <v>0</v>
      </c>
      <c r="S15" s="22">
        <v>2.9999999999999997E-4</v>
      </c>
      <c r="T15" s="22">
        <v>0</v>
      </c>
      <c r="U15" s="22">
        <v>4.37</v>
      </c>
      <c r="V15" s="31">
        <f>Table33[[#This Row],[float_right_g]]/SUM(Table33[[#This Row],[float_right_g]:[float_PVC_g]])</f>
        <v>0.54098360655737698</v>
      </c>
      <c r="W15" s="31">
        <f>Table33[[#This Row],[sink_right_g]]/SUM(Table33[[#This Row],[sink_PP_g]:[sink_right_g]])</f>
        <v>0.99993135482689977</v>
      </c>
      <c r="X15" s="31">
        <f>(Table33[[#This Row],[purity_float]]+Table33[[#This Row],[purity_sink]])/2</f>
        <v>0.77045748069213837</v>
      </c>
    </row>
    <row r="16" spans="1:24" ht="15" customHeight="1" x14ac:dyDescent="0.25">
      <c r="A16" s="10">
        <v>1</v>
      </c>
      <c r="B16" s="23" t="s">
        <v>26</v>
      </c>
      <c r="C16" s="23">
        <v>1</v>
      </c>
      <c r="D16" s="23" t="s">
        <v>29</v>
      </c>
      <c r="E16" s="23" t="s">
        <v>35</v>
      </c>
      <c r="F16" s="1">
        <v>1</v>
      </c>
      <c r="G16" s="25">
        <v>0.6</v>
      </c>
      <c r="H16" s="25">
        <v>0.2</v>
      </c>
      <c r="I16" s="25">
        <v>2</v>
      </c>
      <c r="J16" s="25">
        <v>2.4</v>
      </c>
      <c r="K16" s="25">
        <v>2.7</v>
      </c>
      <c r="L16" s="25">
        <v>1.7</v>
      </c>
      <c r="M16" s="25">
        <v>9.1999999999999993</v>
      </c>
      <c r="N16" s="3">
        <v>2.54</v>
      </c>
      <c r="O16" s="3">
        <v>1.43</v>
      </c>
      <c r="P16" s="3">
        <v>1.0900000000000001</v>
      </c>
      <c r="Q16" s="3">
        <v>0.35</v>
      </c>
      <c r="R16" s="4">
        <v>0</v>
      </c>
      <c r="S16" s="4">
        <v>0</v>
      </c>
      <c r="T16" s="4">
        <v>0</v>
      </c>
      <c r="U16" s="4">
        <v>3.7</v>
      </c>
      <c r="V16" s="32">
        <f>Table33[[#This Row],[float_right_g]]/SUM(Table33[[#This Row],[float_right_g]:[float_PVC_g]])</f>
        <v>0.4695009242144178</v>
      </c>
      <c r="W16" s="32">
        <f>Table33[[#This Row],[sink_right_g]]/SUM(Table33[[#This Row],[sink_PP_g]:[sink_right_g]])</f>
        <v>1</v>
      </c>
      <c r="X16" s="32">
        <f>(Table33[[#This Row],[purity_float]]+Table33[[#This Row],[purity_sink]])/2</f>
        <v>0.73475046210720896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heetProtection sheet="1" objects="1" scenarios="1"/>
  <phoneticPr fontId="8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tabSelected="1" workbookViewId="0">
      <selection activeCell="A34" sqref="A34"/>
    </sheetView>
  </sheetViews>
  <sheetFormatPr defaultColWidth="12.5703125" defaultRowHeight="15" customHeight="1" x14ac:dyDescent="0.25"/>
  <cols>
    <col min="1" max="1" width="15.85546875" style="33" bestFit="1" customWidth="1"/>
    <col min="2" max="2" width="61.28515625" style="33" bestFit="1" customWidth="1"/>
    <col min="3" max="3" width="6.85546875" style="33" bestFit="1" customWidth="1"/>
    <col min="4" max="4" width="40" style="33" customWidth="1"/>
    <col min="5" max="26" width="8.5703125" style="33" customWidth="1"/>
    <col min="27" max="16384" width="12.5703125" style="33"/>
  </cols>
  <sheetData>
    <row r="1" spans="1:4" ht="18" x14ac:dyDescent="0.25">
      <c r="A1" s="43" t="s">
        <v>68</v>
      </c>
      <c r="B1" s="43"/>
      <c r="C1" s="43"/>
      <c r="D1" s="43"/>
    </row>
    <row r="3" spans="1:4" ht="15" customHeight="1" x14ac:dyDescent="0.25">
      <c r="A3" s="34" t="s">
        <v>1</v>
      </c>
    </row>
    <row r="4" spans="1:4" ht="15" customHeight="1" x14ac:dyDescent="0.25">
      <c r="A4" s="44" t="s">
        <v>69</v>
      </c>
      <c r="B4" s="44"/>
      <c r="C4" s="44"/>
      <c r="D4" s="44"/>
    </row>
    <row r="5" spans="1:4" ht="15" customHeight="1" x14ac:dyDescent="0.25">
      <c r="A5" s="45" t="s">
        <v>41</v>
      </c>
      <c r="B5" s="45"/>
      <c r="C5" s="45"/>
      <c r="D5" s="45"/>
    </row>
    <row r="7" spans="1:4" ht="15" customHeight="1" x14ac:dyDescent="0.25">
      <c r="A7" s="34" t="s">
        <v>42</v>
      </c>
    </row>
    <row r="8" spans="1:4" ht="15" customHeight="1" x14ac:dyDescent="0.25">
      <c r="A8" s="35" t="s">
        <v>3</v>
      </c>
      <c r="B8" s="36" t="s">
        <v>2</v>
      </c>
      <c r="C8" s="37" t="s">
        <v>4</v>
      </c>
    </row>
    <row r="9" spans="1:4" ht="15" customHeight="1" x14ac:dyDescent="0.25">
      <c r="A9" s="5" t="s">
        <v>0</v>
      </c>
      <c r="B9" s="1" t="s">
        <v>5</v>
      </c>
      <c r="C9" s="1" t="s">
        <v>6</v>
      </c>
    </row>
    <row r="10" spans="1:4" ht="15" customHeight="1" x14ac:dyDescent="0.25">
      <c r="A10" s="5" t="s">
        <v>24</v>
      </c>
      <c r="B10" s="1" t="s">
        <v>43</v>
      </c>
      <c r="C10" s="1" t="s">
        <v>6</v>
      </c>
    </row>
    <row r="11" spans="1:4" ht="15" customHeight="1" x14ac:dyDescent="0.25">
      <c r="A11" s="38" t="s">
        <v>30</v>
      </c>
      <c r="B11" s="1" t="s">
        <v>45</v>
      </c>
      <c r="C11" s="1" t="s">
        <v>6</v>
      </c>
    </row>
    <row r="12" spans="1:4" ht="15" customHeight="1" x14ac:dyDescent="0.25">
      <c r="A12" s="5" t="s">
        <v>25</v>
      </c>
      <c r="B12" s="1" t="s">
        <v>44</v>
      </c>
      <c r="C12" s="1" t="s">
        <v>6</v>
      </c>
    </row>
    <row r="13" spans="1:4" ht="15" customHeight="1" x14ac:dyDescent="0.25">
      <c r="A13" s="38" t="s">
        <v>31</v>
      </c>
      <c r="B13" s="1" t="s">
        <v>46</v>
      </c>
      <c r="C13" s="1" t="s">
        <v>6</v>
      </c>
    </row>
    <row r="14" spans="1:4" ht="15" customHeight="1" x14ac:dyDescent="0.25">
      <c r="A14" s="38" t="s">
        <v>7</v>
      </c>
      <c r="B14" s="39" t="s">
        <v>47</v>
      </c>
      <c r="C14" s="1" t="s">
        <v>6</v>
      </c>
    </row>
    <row r="15" spans="1:4" ht="15" customHeight="1" x14ac:dyDescent="0.25">
      <c r="A15" s="6" t="s">
        <v>11</v>
      </c>
      <c r="B15" s="2" t="s">
        <v>48</v>
      </c>
      <c r="C15" s="2" t="s">
        <v>49</v>
      </c>
    </row>
    <row r="16" spans="1:4" ht="15" customHeight="1" x14ac:dyDescent="0.25">
      <c r="A16" s="6" t="s">
        <v>12</v>
      </c>
      <c r="B16" s="2" t="s">
        <v>50</v>
      </c>
      <c r="C16" s="2" t="s">
        <v>49</v>
      </c>
    </row>
    <row r="17" spans="1:3" ht="15" customHeight="1" x14ac:dyDescent="0.25">
      <c r="A17" s="6" t="s">
        <v>13</v>
      </c>
      <c r="B17" s="2" t="s">
        <v>51</v>
      </c>
      <c r="C17" s="2" t="s">
        <v>49</v>
      </c>
    </row>
    <row r="18" spans="1:3" ht="15" customHeight="1" x14ac:dyDescent="0.25">
      <c r="A18" s="6" t="s">
        <v>14</v>
      </c>
      <c r="B18" s="2" t="s">
        <v>52</v>
      </c>
      <c r="C18" s="2" t="s">
        <v>49</v>
      </c>
    </row>
    <row r="19" spans="1:3" ht="15" customHeight="1" x14ac:dyDescent="0.25">
      <c r="A19" s="6" t="s">
        <v>15</v>
      </c>
      <c r="B19" s="2" t="s">
        <v>53</v>
      </c>
      <c r="C19" s="2" t="s">
        <v>49</v>
      </c>
    </row>
    <row r="20" spans="1:3" ht="15" customHeight="1" x14ac:dyDescent="0.25">
      <c r="A20" s="6" t="s">
        <v>10</v>
      </c>
      <c r="B20" s="2" t="s">
        <v>54</v>
      </c>
      <c r="C20" s="2" t="s">
        <v>49</v>
      </c>
    </row>
    <row r="21" spans="1:3" ht="15" customHeight="1" x14ac:dyDescent="0.25">
      <c r="A21" s="6" t="s">
        <v>9</v>
      </c>
      <c r="B21" s="2" t="s">
        <v>55</v>
      </c>
      <c r="C21" s="2" t="s">
        <v>49</v>
      </c>
    </row>
    <row r="22" spans="1:3" ht="15" customHeight="1" x14ac:dyDescent="0.25">
      <c r="A22" s="7" t="s">
        <v>16</v>
      </c>
      <c r="B22" s="3" t="s">
        <v>56</v>
      </c>
      <c r="C22" s="3" t="s">
        <v>49</v>
      </c>
    </row>
    <row r="23" spans="1:3" ht="15" customHeight="1" x14ac:dyDescent="0.25">
      <c r="A23" s="7" t="s">
        <v>17</v>
      </c>
      <c r="B23" s="3" t="s">
        <v>57</v>
      </c>
      <c r="C23" s="3" t="s">
        <v>49</v>
      </c>
    </row>
    <row r="24" spans="1:3" ht="15" customHeight="1" x14ac:dyDescent="0.25">
      <c r="A24" s="7" t="s">
        <v>18</v>
      </c>
      <c r="B24" s="3" t="s">
        <v>58</v>
      </c>
      <c r="C24" s="3" t="s">
        <v>49</v>
      </c>
    </row>
    <row r="25" spans="1:3" ht="15" customHeight="1" x14ac:dyDescent="0.25">
      <c r="A25" s="7" t="s">
        <v>19</v>
      </c>
      <c r="B25" s="3" t="s">
        <v>59</v>
      </c>
      <c r="C25" s="3" t="s">
        <v>49</v>
      </c>
    </row>
    <row r="26" spans="1:3" ht="15.75" customHeight="1" x14ac:dyDescent="0.25">
      <c r="A26" s="8" t="s">
        <v>21</v>
      </c>
      <c r="B26" s="4" t="s">
        <v>60</v>
      </c>
      <c r="C26" s="4" t="s">
        <v>49</v>
      </c>
    </row>
    <row r="27" spans="1:3" ht="15.75" customHeight="1" x14ac:dyDescent="0.25">
      <c r="A27" s="8" t="s">
        <v>22</v>
      </c>
      <c r="B27" s="4" t="s">
        <v>61</v>
      </c>
      <c r="C27" s="4" t="s">
        <v>49</v>
      </c>
    </row>
    <row r="28" spans="1:3" ht="15.75" customHeight="1" x14ac:dyDescent="0.25">
      <c r="A28" s="8" t="s">
        <v>23</v>
      </c>
      <c r="B28" s="4" t="s">
        <v>62</v>
      </c>
      <c r="C28" s="4" t="s">
        <v>49</v>
      </c>
    </row>
    <row r="29" spans="1:3" ht="15.75" customHeight="1" x14ac:dyDescent="0.25">
      <c r="A29" s="8" t="s">
        <v>20</v>
      </c>
      <c r="B29" s="9" t="s">
        <v>63</v>
      </c>
      <c r="C29" s="4" t="s">
        <v>49</v>
      </c>
    </row>
    <row r="30" spans="1:3" ht="15.75" customHeight="1" x14ac:dyDescent="0.25">
      <c r="A30" s="40" t="s">
        <v>38</v>
      </c>
      <c r="B30" s="41" t="s">
        <v>65</v>
      </c>
      <c r="C30" s="42" t="s">
        <v>64</v>
      </c>
    </row>
    <row r="31" spans="1:3" ht="15.75" customHeight="1" x14ac:dyDescent="0.25">
      <c r="A31" s="40" t="s">
        <v>39</v>
      </c>
      <c r="B31" s="41" t="s">
        <v>66</v>
      </c>
      <c r="C31" s="42" t="s">
        <v>64</v>
      </c>
    </row>
    <row r="32" spans="1:3" ht="15.75" customHeight="1" x14ac:dyDescent="0.25">
      <c r="A32" s="46" t="s">
        <v>40</v>
      </c>
      <c r="B32" s="41" t="s">
        <v>67</v>
      </c>
      <c r="C32" s="42" t="s">
        <v>64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">
    <mergeCell ref="A1:D1"/>
    <mergeCell ref="A4:D4"/>
    <mergeCell ref="A5:D5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general_info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Prinz</dc:creator>
  <cp:lastModifiedBy>S Prinz</cp:lastModifiedBy>
  <dcterms:created xsi:type="dcterms:W3CDTF">2025-05-23T08:24:27Z</dcterms:created>
  <dcterms:modified xsi:type="dcterms:W3CDTF">2025-12-22T19:20:46Z</dcterms:modified>
</cp:coreProperties>
</file>