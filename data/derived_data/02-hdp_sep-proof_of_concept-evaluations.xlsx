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prinz\Desktop\msc-published_data\data\derived_data\"/>
    </mc:Choice>
  </mc:AlternateContent>
  <xr:revisionPtr revIDLastSave="0" documentId="13_ncr:1_{79B51F8A-E6E8-4EE8-98A9-B9EFA24969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valuation" sheetId="3" r:id="rId1"/>
    <sheet name="general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ZaLbGlAsG6H6Ni+Ai3tDTKQ54zGasfV71Dg4FUNi2M="/>
    </ext>
  </extLst>
</workbook>
</file>

<file path=xl/calcChain.xml><?xml version="1.0" encoding="utf-8"?>
<calcChain xmlns="http://schemas.openxmlformats.org/spreadsheetml/2006/main">
  <c r="N3" i="3" l="1"/>
  <c r="N4" i="3"/>
  <c r="N2" i="3"/>
  <c r="M3" i="3"/>
  <c r="M4" i="3"/>
  <c r="O4" i="3" s="1"/>
  <c r="M2" i="3"/>
  <c r="O2" i="3" s="1"/>
  <c r="O3" i="3" l="1"/>
</calcChain>
</file>

<file path=xl/sharedStrings.xml><?xml version="1.0" encoding="utf-8"?>
<sst xmlns="http://schemas.openxmlformats.org/spreadsheetml/2006/main" count="74" uniqueCount="47">
  <si>
    <t>id</t>
  </si>
  <si>
    <t>Assumption:</t>
  </si>
  <si>
    <t>description</t>
  </si>
  <si>
    <t>variable</t>
  </si>
  <si>
    <t>unit</t>
  </si>
  <si>
    <t>Unique identifier of observation</t>
  </si>
  <si>
    <t>-</t>
  </si>
  <si>
    <t>in_tot_g</t>
  </si>
  <si>
    <t>in_PVC_g</t>
  </si>
  <si>
    <t>in_PS_g</t>
  </si>
  <si>
    <t>in_PET_g</t>
  </si>
  <si>
    <t>float_right_g</t>
  </si>
  <si>
    <t>float_PET_g</t>
  </si>
  <si>
    <t>float_PVC_g</t>
  </si>
  <si>
    <t>sink_right_g</t>
  </si>
  <si>
    <t>sep_sol_id</t>
  </si>
  <si>
    <t>sep_sol</t>
  </si>
  <si>
    <t>a</t>
  </si>
  <si>
    <t>b</t>
  </si>
  <si>
    <t>c</t>
  </si>
  <si>
    <t>swirling</t>
  </si>
  <si>
    <t>pouring</t>
  </si>
  <si>
    <t>dense sink-float</t>
  </si>
  <si>
    <t>sink_PS_g</t>
  </si>
  <si>
    <t>purity_float</t>
  </si>
  <si>
    <t>purity_sink</t>
  </si>
  <si>
    <t>combined_purity</t>
  </si>
  <si>
    <t>The sorting step that is tested during the recording of an observation has two possible outputs (sink and float).</t>
  </si>
  <si>
    <t>For each output, the total mass of correctly assigned flakes, and the mass for each incorrectly assigned material is recorded.</t>
  </si>
  <si>
    <t>Data dictionary:</t>
  </si>
  <si>
    <t>Unique identifier of separation solution used for observation</t>
  </si>
  <si>
    <t>Description of separation solution used for observation</t>
  </si>
  <si>
    <t>Mass of PS added to input plastic (theoretical)</t>
  </si>
  <si>
    <t>g</t>
  </si>
  <si>
    <t>Mass of PET added to input plastic (theoretical)</t>
  </si>
  <si>
    <t>Mass of PVC added to input plastic (theoretical)</t>
  </si>
  <si>
    <t>Total mass of plastic flakes in input plastic (theoretical)</t>
  </si>
  <si>
    <t>Measured mass of plastic flakes correctly assigned to float fraction</t>
  </si>
  <si>
    <t>Measured mass of PET flakes misclassified to float fraction</t>
  </si>
  <si>
    <t>Measured mass of PVC flakes misclassified to float fraction</t>
  </si>
  <si>
    <t>Measured mass of PS flakes misclassified to sink fraction</t>
  </si>
  <si>
    <t>Measured mass of plastic flakes correctly assigned to sink fraction</t>
  </si>
  <si>
    <t>Data evaluation sheet for test 02 "HDP separation - Proof of concept"</t>
  </si>
  <si>
    <t>Calculated purity of the float fraction</t>
  </si>
  <si>
    <t>%</t>
  </si>
  <si>
    <t>Calculated purity of the sink fraction</t>
  </si>
  <si>
    <t>Combined purity (average of purity_float and purity_sink)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</si>
</sst>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sz val="8"/>
      <name val="Aptos Narrow"/>
      <scheme val="minor"/>
    </font>
    <font>
      <sz val="11"/>
      <color rgb="FF000000"/>
      <name val="Aptos Narrow"/>
    </font>
    <font>
      <b/>
      <sz val="11"/>
      <name val="Aptos Narrow"/>
    </font>
    <font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rgb="FF95DCF7"/>
        <bgColor rgb="FF95DCF7"/>
      </patternFill>
    </fill>
    <fill>
      <patternFill patternType="solid">
        <fgColor rgb="FFE49EDD"/>
        <bgColor rgb="FFE49EDD"/>
      </patternFill>
    </fill>
    <fill>
      <patternFill patternType="solid">
        <fgColor rgb="FFF6C6AC"/>
        <bgColor rgb="FFF6C6AC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F6C6AC"/>
        <bgColor indexed="64"/>
      </patternFill>
    </fill>
    <fill>
      <patternFill patternType="solid">
        <fgColor rgb="FFFAE2D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37">
    <xf numFmtId="0" fontId="0" fillId="0" borderId="0" xfId="0" applyFont="1" applyAlignment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10" borderId="1" xfId="0" applyFont="1" applyFill="1" applyBorder="1"/>
    <xf numFmtId="0" fontId="2" fillId="7" borderId="5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3" borderId="7" xfId="0" applyFont="1" applyFill="1" applyBorder="1"/>
    <xf numFmtId="0" fontId="6" fillId="4" borderId="7" xfId="0" applyFont="1" applyFill="1" applyBorder="1"/>
    <xf numFmtId="0" fontId="6" fillId="5" borderId="7" xfId="0" applyFont="1" applyFill="1" applyBorder="1"/>
    <xf numFmtId="0" fontId="7" fillId="0" borderId="0" xfId="0" applyFont="1" applyAlignment="1"/>
    <xf numFmtId="0" fontId="4" fillId="7" borderId="1" xfId="0" applyFont="1" applyFill="1" applyBorder="1"/>
    <xf numFmtId="164" fontId="2" fillId="8" borderId="1" xfId="0" applyNumberFormat="1" applyFont="1" applyFill="1" applyBorder="1"/>
    <xf numFmtId="0" fontId="6" fillId="5" borderId="8" xfId="0" applyFont="1" applyFill="1" applyBorder="1"/>
    <xf numFmtId="0" fontId="2" fillId="10" borderId="10" xfId="0" applyFont="1" applyFill="1" applyBorder="1"/>
    <xf numFmtId="0" fontId="10" fillId="6" borderId="9" xfId="0" applyFont="1" applyFill="1" applyBorder="1" applyAlignment="1"/>
    <xf numFmtId="10" fontId="9" fillId="11" borderId="9" xfId="1" applyNumberFormat="1" applyFont="1" applyFill="1" applyBorder="1" applyAlignment="1"/>
    <xf numFmtId="0" fontId="0" fillId="0" borderId="0" xfId="0"/>
    <xf numFmtId="0" fontId="3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12" borderId="14" xfId="0" applyFont="1" applyFill="1" applyBorder="1" applyAlignment="1"/>
    <xf numFmtId="0" fontId="0" fillId="13" borderId="9" xfId="0" applyFont="1" applyFill="1" applyBorder="1" applyAlignment="1"/>
    <xf numFmtId="0" fontId="0" fillId="13" borderId="15" xfId="0" applyFont="1" applyFill="1" applyBorder="1" applyAlignment="1"/>
    <xf numFmtId="0" fontId="0" fillId="13" borderId="13" xfId="0" applyFont="1" applyFill="1" applyBorder="1" applyAlignment="1"/>
    <xf numFmtId="0" fontId="0" fillId="13" borderId="11" xfId="0" applyFont="1" applyFill="1" applyBorder="1" applyAlignment="1"/>
    <xf numFmtId="0" fontId="5" fillId="0" borderId="0" xfId="0" applyFont="1"/>
    <xf numFmtId="0" fontId="1" fillId="0" borderId="0" xfId="0" applyFont="1"/>
    <xf numFmtId="0" fontId="0" fillId="0" borderId="0" xfId="0"/>
    <xf numFmtId="0" fontId="0" fillId="12" borderId="12" xfId="0" applyFill="1" applyBorder="1"/>
  </cellXfs>
  <cellStyles count="2">
    <cellStyle name="Normal" xfId="0" builtinId="0"/>
    <cellStyle name="Percent" xfId="1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4" formatCode="0.00%"/>
      <fill>
        <patternFill patternType="solid">
          <fgColor rgb="FFFAE2D5"/>
          <bgColor rgb="FFFAE2D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4" formatCode="0.00%"/>
      <fill>
        <patternFill patternType="solid">
          <fgColor rgb="FFFAE2D5"/>
          <bgColor rgb="FFFAE2D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4" formatCode="0.00%"/>
      <fill>
        <patternFill patternType="solid">
          <fgColor rgb="FFFAE2D5"/>
          <bgColor rgb="FFFAE2D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AEDFB"/>
          <bgColor rgb="FFCAEDFB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0.0"/>
      <fill>
        <patternFill patternType="solid">
          <fgColor rgb="FFC1F0C8"/>
          <bgColor rgb="FFC1F0C8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FAE2D5"/>
          <bgColor rgb="FFFAE2D5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rgb="FFF6C6AC"/>
          <bgColor rgb="FFF6C6AC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28EA70-8A9C-42D0-A5EE-A42290A3D1EF}" name="Table33" displayName="Table33" ref="A1:O4" totalsRowShown="0" headerRowDxfId="26" dataDxfId="24" headerRowBorderDxfId="25" tableBorderDxfId="23" totalsRowBorderDxfId="22">
  <autoFilter ref="A1:O4" xr:uid="{A646DC29-CDD2-4BA3-B783-ED282316E5B1}"/>
  <sortState xmlns:xlrd2="http://schemas.microsoft.com/office/spreadsheetml/2017/richdata2" ref="A2:O4">
    <sortCondition descending="1" ref="O1:O4"/>
  </sortState>
  <tableColumns count="15">
    <tableColumn id="1" xr3:uid="{56B57D01-B02D-4333-9EA8-E166E544BB6A}" name="id" dataDxfId="21"/>
    <tableColumn id="25" xr3:uid="{1FD53EAE-B45E-4E73-83FD-F319467B793A}" name="sep_sol_id" dataDxfId="20"/>
    <tableColumn id="24" xr3:uid="{36F6C408-7A35-4A08-BCB4-44158520CCE9}" name="sep_sol" dataDxfId="19"/>
    <tableColumn id="7" xr3:uid="{4022C42B-1FBD-4C63-B0AA-89197CC7797E}" name="in_PS_g" dataDxfId="18"/>
    <tableColumn id="8" xr3:uid="{01179841-0401-4D41-9E35-25AD751EE292}" name="in_PET_g" dataDxfId="17"/>
    <tableColumn id="20" xr3:uid="{D9E3AD4D-603D-4D06-A885-E182104FCA0F}" name="in_PVC_g" dataDxfId="16"/>
    <tableColumn id="9" xr3:uid="{A8CC5F0A-C4AE-4463-BA03-78CE0578462F}" name="in_tot_g" dataDxfId="15"/>
    <tableColumn id="10" xr3:uid="{3EEC2F1F-8834-4C47-831F-4AD239FFB0E8}" name="float_right_g" dataDxfId="14"/>
    <tableColumn id="21" xr3:uid="{65FF6534-27EA-40C3-A991-28422CF6F14F}" name="float_PET_g" dataDxfId="13"/>
    <tableColumn id="12" xr3:uid="{0D046BA9-D017-4D5B-9139-3D7747F05771}" name="float_PVC_g" dataDxfId="12"/>
    <tableColumn id="13" xr3:uid="{C02C4086-E0E8-4C2C-A0A1-3F6972B396A4}" name="sink_PS_g" dataDxfId="11"/>
    <tableColumn id="15" xr3:uid="{212FF40F-C676-42C8-9D1E-F73F911827D4}" name="sink_right_g" dataDxfId="10"/>
    <tableColumn id="2" xr3:uid="{A082312F-5ADB-4E15-98FA-40F95459A932}" name="purity_float" dataDxfId="9" dataCellStyle="Percent">
      <calculatedColumnFormula>Table33[[#This Row],[float_right_g]]/SUM(Table33[[#This Row],[float_right_g]:[float_PVC_g]])</calculatedColumnFormula>
    </tableColumn>
    <tableColumn id="3" xr3:uid="{7E4691DB-8B97-43BF-8F51-021BE3831394}" name="purity_sink" dataDxfId="8" dataCellStyle="Percent">
      <calculatedColumnFormula>Table33[[#This Row],[sink_right_g]]/SUM(Table33[[#This Row],[sink_PS_g]:[sink_right_g]])</calculatedColumnFormula>
    </tableColumn>
    <tableColumn id="4" xr3:uid="{88C59D69-2A7B-465B-9DF3-5A945E60309F}" name="combined_purity" dataDxfId="7" dataCellStyle="Percent">
      <calculatedColumnFormula>(Table33[[#This Row],[purity_float]]+Table33[[#This Row],[purity_sink]])/2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F94C08-1F65-4603-8561-FA40B75D857C}" name="Table14" displayName="Table14" ref="A8:C23" totalsRowShown="0" headerRowDxfId="6" headerRowBorderDxfId="5" tableBorderDxfId="4" totalsRowBorderDxfId="3">
  <autoFilter ref="A8:C23" xr:uid="{49F94C08-1F65-4603-8561-FA40B75D857C}"/>
  <tableColumns count="3">
    <tableColumn id="1" xr3:uid="{33499868-E3EF-44F8-B38B-23D9F84EDF59}" name="variable" dataDxfId="2"/>
    <tableColumn id="2" xr3:uid="{F829FC1D-C25F-45CC-B5D4-29E561EECD37}" name="description" dataDxfId="1"/>
    <tableColumn id="3" xr3:uid="{6AA03878-5797-4865-B36F-12A54BF42918}" name="uni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D31E-7B01-4E85-A119-EC078E2FA82F}">
  <dimension ref="A1:O987"/>
  <sheetViews>
    <sheetView workbookViewId="0">
      <selection activeCell="L1" sqref="L1"/>
    </sheetView>
  </sheetViews>
  <sheetFormatPr defaultColWidth="12.5703125" defaultRowHeight="15" customHeight="1" x14ac:dyDescent="0.25"/>
  <cols>
    <col min="1" max="1" width="5" bestFit="1" customWidth="1"/>
    <col min="2" max="2" width="12.7109375" bestFit="1" customWidth="1"/>
    <col min="3" max="3" width="15.28515625" bestFit="1" customWidth="1"/>
    <col min="4" max="4" width="10" bestFit="1" customWidth="1"/>
    <col min="5" max="5" width="11" bestFit="1" customWidth="1"/>
    <col min="6" max="6" width="11.42578125" bestFit="1" customWidth="1"/>
    <col min="7" max="7" width="10.28515625" bestFit="1" customWidth="1"/>
    <col min="8" max="8" width="14.28515625" bestFit="1" customWidth="1"/>
    <col min="9" max="9" width="13.42578125" bestFit="1" customWidth="1"/>
    <col min="10" max="10" width="13.85546875" bestFit="1" customWidth="1"/>
    <col min="11" max="11" width="12" bestFit="1" customWidth="1"/>
    <col min="12" max="12" width="13.85546875" bestFit="1" customWidth="1"/>
    <col min="13" max="13" width="13.5703125" bestFit="1" customWidth="1"/>
    <col min="14" max="14" width="13.140625" bestFit="1" customWidth="1"/>
    <col min="15" max="15" width="18.5703125" bestFit="1" customWidth="1"/>
    <col min="16" max="18" width="9.28515625" customWidth="1"/>
  </cols>
  <sheetData>
    <row r="1" spans="1:15" s="16" customFormat="1" x14ac:dyDescent="0.25">
      <c r="A1" s="11" t="s">
        <v>0</v>
      </c>
      <c r="B1" s="12" t="s">
        <v>15</v>
      </c>
      <c r="C1" s="12" t="s">
        <v>16</v>
      </c>
      <c r="D1" s="13" t="s">
        <v>9</v>
      </c>
      <c r="E1" s="13" t="s">
        <v>10</v>
      </c>
      <c r="F1" s="13" t="s">
        <v>8</v>
      </c>
      <c r="G1" s="13" t="s">
        <v>7</v>
      </c>
      <c r="H1" s="14" t="s">
        <v>11</v>
      </c>
      <c r="I1" s="14" t="s">
        <v>12</v>
      </c>
      <c r="J1" s="14" t="s">
        <v>13</v>
      </c>
      <c r="K1" s="15" t="s">
        <v>23</v>
      </c>
      <c r="L1" s="19" t="s">
        <v>14</v>
      </c>
      <c r="M1" s="21" t="s">
        <v>24</v>
      </c>
      <c r="N1" s="21" t="s">
        <v>25</v>
      </c>
      <c r="O1" s="21" t="s">
        <v>26</v>
      </c>
    </row>
    <row r="2" spans="1:15" x14ac:dyDescent="0.25">
      <c r="A2" s="10">
        <v>3</v>
      </c>
      <c r="B2" s="17" t="s">
        <v>19</v>
      </c>
      <c r="C2" s="17" t="s">
        <v>22</v>
      </c>
      <c r="D2" s="18">
        <v>2.4</v>
      </c>
      <c r="E2" s="18">
        <v>2.7</v>
      </c>
      <c r="F2" s="18">
        <v>1.7</v>
      </c>
      <c r="G2" s="18">
        <v>6.8</v>
      </c>
      <c r="H2" s="3">
        <v>2.39</v>
      </c>
      <c r="I2" s="3">
        <v>0.08</v>
      </c>
      <c r="J2" s="3">
        <v>0</v>
      </c>
      <c r="K2" s="4">
        <v>0</v>
      </c>
      <c r="L2" s="20">
        <v>4.2</v>
      </c>
      <c r="M2" s="22">
        <f>Table33[[#This Row],[float_right_g]]/SUM(Table33[[#This Row],[float_right_g]:[float_PVC_g]])</f>
        <v>0.96761133603238869</v>
      </c>
      <c r="N2" s="22">
        <f>Table33[[#This Row],[sink_right_g]]/SUM(Table33[[#This Row],[sink_PS_g]:[sink_right_g]])</f>
        <v>1</v>
      </c>
      <c r="O2" s="22">
        <f>(Table33[[#This Row],[purity_float]]+Table33[[#This Row],[purity_sink]])/2</f>
        <v>0.9838056680161944</v>
      </c>
    </row>
    <row r="3" spans="1:15" x14ac:dyDescent="0.25">
      <c r="A3" s="10">
        <v>1</v>
      </c>
      <c r="B3" s="17" t="s">
        <v>17</v>
      </c>
      <c r="C3" s="17" t="s">
        <v>20</v>
      </c>
      <c r="D3" s="18">
        <v>2.4</v>
      </c>
      <c r="E3" s="18">
        <v>2.7</v>
      </c>
      <c r="F3" s="18">
        <v>1.7</v>
      </c>
      <c r="G3" s="18">
        <v>6.8</v>
      </c>
      <c r="H3" s="3">
        <v>0.76</v>
      </c>
      <c r="I3" s="3">
        <v>0.03</v>
      </c>
      <c r="J3" s="3">
        <v>0</v>
      </c>
      <c r="K3" s="4">
        <v>1.63</v>
      </c>
      <c r="L3" s="20">
        <v>4.2300000000000004</v>
      </c>
      <c r="M3" s="22">
        <f>Table33[[#This Row],[float_right_g]]/SUM(Table33[[#This Row],[float_right_g]:[float_PVC_g]])</f>
        <v>0.96202531645569622</v>
      </c>
      <c r="N3" s="22">
        <f>Table33[[#This Row],[sink_right_g]]/SUM(Table33[[#This Row],[sink_PS_g]:[sink_right_g]])</f>
        <v>0.72184300341296936</v>
      </c>
      <c r="O3" s="22">
        <f>(Table33[[#This Row],[purity_float]]+Table33[[#This Row],[purity_sink]])/2</f>
        <v>0.84193415993433285</v>
      </c>
    </row>
    <row r="4" spans="1:15" x14ac:dyDescent="0.25">
      <c r="A4" s="10">
        <v>2</v>
      </c>
      <c r="B4" s="17" t="s">
        <v>18</v>
      </c>
      <c r="C4" s="17" t="s">
        <v>21</v>
      </c>
      <c r="D4" s="18">
        <v>2.4</v>
      </c>
      <c r="E4" s="18">
        <v>2.7</v>
      </c>
      <c r="F4" s="18">
        <v>1.7</v>
      </c>
      <c r="G4" s="18">
        <v>6.8</v>
      </c>
      <c r="H4" s="3">
        <v>0.73</v>
      </c>
      <c r="I4" s="3">
        <v>0.03</v>
      </c>
      <c r="J4" s="3">
        <v>0</v>
      </c>
      <c r="K4" s="4">
        <v>1.65</v>
      </c>
      <c r="L4" s="20">
        <v>4.2699999999999996</v>
      </c>
      <c r="M4" s="22">
        <f>Table33[[#This Row],[float_right_g]]/SUM(Table33[[#This Row],[float_right_g]:[float_PVC_g]])</f>
        <v>0.96052631578947367</v>
      </c>
      <c r="N4" s="22">
        <f>Table33[[#This Row],[sink_right_g]]/SUM(Table33[[#This Row],[sink_PS_g]:[sink_right_g]])</f>
        <v>0.72128378378378377</v>
      </c>
      <c r="O4" s="22">
        <f>(Table33[[#This Row],[purity_float]]+Table33[[#This Row],[purity_sink]])/2</f>
        <v>0.84090504978662872</v>
      </c>
    </row>
    <row r="8" spans="1:15" ht="15.75" customHeight="1" x14ac:dyDescent="0.25"/>
    <row r="9" spans="1:15" ht="15.75" customHeight="1" x14ac:dyDescent="0.25"/>
    <row r="10" spans="1:15" ht="15.75" customHeight="1" x14ac:dyDescent="0.25"/>
    <row r="11" spans="1:15" ht="15.75" customHeight="1" x14ac:dyDescent="0.25"/>
    <row r="12" spans="1:15" ht="15.75" customHeight="1" x14ac:dyDescent="0.25"/>
    <row r="13" spans="1:15" ht="15.75" customHeight="1" x14ac:dyDescent="0.25"/>
    <row r="14" spans="1:15" ht="15.75" customHeight="1" x14ac:dyDescent="0.25"/>
    <row r="15" spans="1:15" ht="15.75" customHeight="1" x14ac:dyDescent="0.25"/>
    <row r="16" spans="1:1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sheetProtection sheet="1" objects="1" scenarios="1"/>
  <phoneticPr fontId="8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tabSelected="1" workbookViewId="0">
      <selection activeCell="B27" sqref="B27"/>
    </sheetView>
  </sheetViews>
  <sheetFormatPr defaultColWidth="12.5703125" defaultRowHeight="15" customHeight="1" x14ac:dyDescent="0.25"/>
  <cols>
    <col min="1" max="1" width="15.85546875" style="23" bestFit="1" customWidth="1"/>
    <col min="2" max="2" width="61.28515625" style="23" bestFit="1" customWidth="1"/>
    <col min="3" max="3" width="6.85546875" style="23" bestFit="1" customWidth="1"/>
    <col min="4" max="4" width="40" style="23" customWidth="1"/>
    <col min="5" max="26" width="8.5703125" style="23" customWidth="1"/>
    <col min="27" max="16384" width="12.5703125" style="23"/>
  </cols>
  <sheetData>
    <row r="1" spans="1:4" ht="18" x14ac:dyDescent="0.25">
      <c r="A1" s="33" t="s">
        <v>42</v>
      </c>
      <c r="B1" s="33"/>
      <c r="C1" s="33"/>
      <c r="D1" s="33"/>
    </row>
    <row r="3" spans="1:4" ht="15" customHeight="1" x14ac:dyDescent="0.25">
      <c r="A3" s="24" t="s">
        <v>1</v>
      </c>
    </row>
    <row r="4" spans="1:4" ht="15" customHeight="1" x14ac:dyDescent="0.25">
      <c r="A4" s="34" t="s">
        <v>27</v>
      </c>
      <c r="B4" s="34"/>
      <c r="C4" s="34"/>
      <c r="D4" s="34"/>
    </row>
    <row r="5" spans="1:4" ht="15" customHeight="1" x14ac:dyDescent="0.25">
      <c r="A5" s="35" t="s">
        <v>28</v>
      </c>
      <c r="B5" s="35"/>
      <c r="C5" s="35"/>
      <c r="D5" s="35"/>
    </row>
    <row r="7" spans="1:4" ht="15" customHeight="1" x14ac:dyDescent="0.25">
      <c r="A7" s="24" t="s">
        <v>29</v>
      </c>
    </row>
    <row r="8" spans="1:4" ht="15" customHeight="1" x14ac:dyDescent="0.25">
      <c r="A8" s="25" t="s">
        <v>3</v>
      </c>
      <c r="B8" s="26" t="s">
        <v>2</v>
      </c>
      <c r="C8" s="27" t="s">
        <v>4</v>
      </c>
    </row>
    <row r="9" spans="1:4" ht="15" customHeight="1" x14ac:dyDescent="0.25">
      <c r="A9" s="5" t="s">
        <v>0</v>
      </c>
      <c r="B9" s="1" t="s">
        <v>5</v>
      </c>
      <c r="C9" s="1" t="s">
        <v>6</v>
      </c>
    </row>
    <row r="10" spans="1:4" ht="15" customHeight="1" x14ac:dyDescent="0.25">
      <c r="A10" s="5" t="s">
        <v>15</v>
      </c>
      <c r="B10" s="1" t="s">
        <v>30</v>
      </c>
      <c r="C10" s="1" t="s">
        <v>6</v>
      </c>
    </row>
    <row r="11" spans="1:4" ht="15" customHeight="1" x14ac:dyDescent="0.25">
      <c r="A11" s="5" t="s">
        <v>16</v>
      </c>
      <c r="B11" s="1" t="s">
        <v>31</v>
      </c>
      <c r="C11" s="1" t="s">
        <v>6</v>
      </c>
    </row>
    <row r="12" spans="1:4" ht="15" customHeight="1" x14ac:dyDescent="0.25">
      <c r="A12" s="6" t="s">
        <v>9</v>
      </c>
      <c r="B12" s="2" t="s">
        <v>32</v>
      </c>
      <c r="C12" s="2" t="s">
        <v>33</v>
      </c>
    </row>
    <row r="13" spans="1:4" ht="15" customHeight="1" x14ac:dyDescent="0.25">
      <c r="A13" s="6" t="s">
        <v>10</v>
      </c>
      <c r="B13" s="2" t="s">
        <v>34</v>
      </c>
      <c r="C13" s="2" t="s">
        <v>33</v>
      </c>
    </row>
    <row r="14" spans="1:4" ht="15" customHeight="1" x14ac:dyDescent="0.25">
      <c r="A14" s="6" t="s">
        <v>8</v>
      </c>
      <c r="B14" s="2" t="s">
        <v>35</v>
      </c>
      <c r="C14" s="2" t="s">
        <v>33</v>
      </c>
    </row>
    <row r="15" spans="1:4" ht="15" customHeight="1" x14ac:dyDescent="0.25">
      <c r="A15" s="6" t="s">
        <v>7</v>
      </c>
      <c r="B15" s="2" t="s">
        <v>36</v>
      </c>
      <c r="C15" s="2" t="s">
        <v>33</v>
      </c>
    </row>
    <row r="16" spans="1:4" ht="15" customHeight="1" x14ac:dyDescent="0.25">
      <c r="A16" s="7" t="s">
        <v>11</v>
      </c>
      <c r="B16" s="3" t="s">
        <v>37</v>
      </c>
      <c r="C16" s="3" t="s">
        <v>33</v>
      </c>
    </row>
    <row r="17" spans="1:3" ht="15" customHeight="1" x14ac:dyDescent="0.25">
      <c r="A17" s="7" t="s">
        <v>12</v>
      </c>
      <c r="B17" s="3" t="s">
        <v>38</v>
      </c>
      <c r="C17" s="3" t="s">
        <v>33</v>
      </c>
    </row>
    <row r="18" spans="1:3" ht="15" customHeight="1" x14ac:dyDescent="0.25">
      <c r="A18" s="7" t="s">
        <v>13</v>
      </c>
      <c r="B18" s="3" t="s">
        <v>39</v>
      </c>
      <c r="C18" s="3" t="s">
        <v>33</v>
      </c>
    </row>
    <row r="19" spans="1:3" ht="15.75" customHeight="1" x14ac:dyDescent="0.25">
      <c r="A19" s="8" t="s">
        <v>23</v>
      </c>
      <c r="B19" s="4" t="s">
        <v>40</v>
      </c>
      <c r="C19" s="4" t="s">
        <v>33</v>
      </c>
    </row>
    <row r="20" spans="1:3" ht="15.75" customHeight="1" x14ac:dyDescent="0.25">
      <c r="A20" s="8" t="s">
        <v>14</v>
      </c>
      <c r="B20" s="9" t="s">
        <v>41</v>
      </c>
      <c r="C20" s="4" t="s">
        <v>33</v>
      </c>
    </row>
    <row r="21" spans="1:3" ht="15.75" customHeight="1" x14ac:dyDescent="0.25">
      <c r="A21" s="28" t="s">
        <v>24</v>
      </c>
      <c r="B21" s="29" t="s">
        <v>43</v>
      </c>
      <c r="C21" s="30" t="s">
        <v>44</v>
      </c>
    </row>
    <row r="22" spans="1:3" ht="15.75" customHeight="1" x14ac:dyDescent="0.25">
      <c r="A22" s="28" t="s">
        <v>25</v>
      </c>
      <c r="B22" s="29" t="s">
        <v>45</v>
      </c>
      <c r="C22" s="30" t="s">
        <v>44</v>
      </c>
    </row>
    <row r="23" spans="1:3" ht="15.75" customHeight="1" x14ac:dyDescent="0.25">
      <c r="A23" s="36" t="s">
        <v>26</v>
      </c>
      <c r="B23" s="31" t="s">
        <v>46</v>
      </c>
      <c r="C23" s="32" t="s">
        <v>44</v>
      </c>
    </row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s="23" customFormat="1" ht="15.75" customHeight="1" x14ac:dyDescent="0.25"/>
    <row r="34" s="23" customFormat="1" ht="15.75" customHeight="1" x14ac:dyDescent="0.25"/>
    <row r="35" s="23" customFormat="1" ht="15.75" customHeight="1" x14ac:dyDescent="0.25"/>
    <row r="36" s="23" customFormat="1" ht="15.75" customHeight="1" x14ac:dyDescent="0.25"/>
    <row r="37" s="23" customFormat="1" ht="15.75" customHeight="1" x14ac:dyDescent="0.25"/>
    <row r="38" s="23" customFormat="1" ht="15.75" customHeight="1" x14ac:dyDescent="0.25"/>
    <row r="39" s="23" customFormat="1" ht="15.75" customHeight="1" x14ac:dyDescent="0.25"/>
    <row r="40" s="23" customFormat="1" ht="15.75" customHeight="1" x14ac:dyDescent="0.25"/>
    <row r="41" s="23" customFormat="1" ht="15.75" customHeight="1" x14ac:dyDescent="0.25"/>
    <row r="42" s="23" customFormat="1" ht="15.75" customHeight="1" x14ac:dyDescent="0.25"/>
    <row r="43" s="23" customFormat="1" ht="15.75" customHeight="1" x14ac:dyDescent="0.25"/>
    <row r="44" s="23" customFormat="1" ht="15.75" customHeight="1" x14ac:dyDescent="0.25"/>
    <row r="45" s="23" customFormat="1" ht="15.75" customHeight="1" x14ac:dyDescent="0.25"/>
    <row r="46" s="23" customFormat="1" ht="15.75" customHeight="1" x14ac:dyDescent="0.25"/>
    <row r="47" s="23" customFormat="1" ht="15.75" customHeight="1" x14ac:dyDescent="0.25"/>
    <row r="48" s="23" customFormat="1" ht="15.75" customHeight="1" x14ac:dyDescent="0.25"/>
    <row r="49" s="23" customFormat="1" ht="15.75" customHeight="1" x14ac:dyDescent="0.25"/>
    <row r="50" s="23" customFormat="1" ht="15.75" customHeight="1" x14ac:dyDescent="0.25"/>
    <row r="51" s="23" customFormat="1" ht="15.75" customHeight="1" x14ac:dyDescent="0.25"/>
    <row r="52" s="23" customFormat="1" ht="15.75" customHeight="1" x14ac:dyDescent="0.25"/>
    <row r="53" s="23" customFormat="1" ht="15.75" customHeight="1" x14ac:dyDescent="0.25"/>
    <row r="54" s="23" customFormat="1" ht="15.75" customHeight="1" x14ac:dyDescent="0.25"/>
    <row r="55" s="23" customFormat="1" ht="15.75" customHeight="1" x14ac:dyDescent="0.25"/>
    <row r="56" s="23" customFormat="1" ht="15.75" customHeight="1" x14ac:dyDescent="0.25"/>
    <row r="57" s="23" customFormat="1" ht="15.75" customHeight="1" x14ac:dyDescent="0.25"/>
    <row r="58" s="23" customFormat="1" ht="15.75" customHeight="1" x14ac:dyDescent="0.25"/>
    <row r="59" s="23" customFormat="1" ht="15.75" customHeight="1" x14ac:dyDescent="0.25"/>
    <row r="60" s="23" customFormat="1" ht="15.75" customHeight="1" x14ac:dyDescent="0.25"/>
    <row r="61" s="23" customFormat="1" ht="15.75" customHeight="1" x14ac:dyDescent="0.25"/>
    <row r="62" s="23" customFormat="1" ht="15.75" customHeight="1" x14ac:dyDescent="0.25"/>
    <row r="63" s="23" customFormat="1" ht="15.75" customHeight="1" x14ac:dyDescent="0.25"/>
    <row r="64" s="23" customFormat="1" ht="15.75" customHeight="1" x14ac:dyDescent="0.25"/>
    <row r="65" s="23" customFormat="1" ht="15.75" customHeight="1" x14ac:dyDescent="0.25"/>
    <row r="66" s="23" customFormat="1" ht="15.75" customHeight="1" x14ac:dyDescent="0.25"/>
    <row r="67" s="23" customFormat="1" ht="15.75" customHeight="1" x14ac:dyDescent="0.25"/>
    <row r="68" s="23" customFormat="1" ht="15.75" customHeight="1" x14ac:dyDescent="0.25"/>
    <row r="69" s="23" customFormat="1" ht="15.75" customHeight="1" x14ac:dyDescent="0.25"/>
    <row r="70" s="23" customFormat="1" ht="15.75" customHeight="1" x14ac:dyDescent="0.25"/>
    <row r="71" s="23" customFormat="1" ht="15.75" customHeight="1" x14ac:dyDescent="0.25"/>
    <row r="72" s="23" customFormat="1" ht="15.75" customHeight="1" x14ac:dyDescent="0.25"/>
    <row r="73" s="23" customFormat="1" ht="15.75" customHeight="1" x14ac:dyDescent="0.25"/>
    <row r="74" s="23" customFormat="1" ht="15.75" customHeight="1" x14ac:dyDescent="0.25"/>
    <row r="75" s="23" customFormat="1" ht="15.75" customHeight="1" x14ac:dyDescent="0.25"/>
    <row r="76" s="23" customFormat="1" ht="15.75" customHeight="1" x14ac:dyDescent="0.25"/>
    <row r="77" s="23" customFormat="1" ht="15.75" customHeight="1" x14ac:dyDescent="0.25"/>
    <row r="78" s="23" customFormat="1" ht="15.75" customHeight="1" x14ac:dyDescent="0.25"/>
    <row r="79" s="23" customFormat="1" ht="15.75" customHeight="1" x14ac:dyDescent="0.25"/>
    <row r="80" s="23" customFormat="1" ht="15.75" customHeight="1" x14ac:dyDescent="0.25"/>
    <row r="81" s="23" customFormat="1" ht="15.75" customHeight="1" x14ac:dyDescent="0.25"/>
    <row r="82" s="23" customFormat="1" ht="15.75" customHeight="1" x14ac:dyDescent="0.25"/>
    <row r="83" s="23" customFormat="1" ht="15.75" customHeight="1" x14ac:dyDescent="0.25"/>
    <row r="84" s="23" customFormat="1" ht="15.75" customHeight="1" x14ac:dyDescent="0.25"/>
    <row r="85" s="23" customFormat="1" ht="15.75" customHeight="1" x14ac:dyDescent="0.25"/>
    <row r="86" s="23" customFormat="1" ht="15.75" customHeight="1" x14ac:dyDescent="0.25"/>
    <row r="87" s="23" customFormat="1" ht="15.75" customHeight="1" x14ac:dyDescent="0.25"/>
    <row r="88" s="23" customFormat="1" ht="15.75" customHeight="1" x14ac:dyDescent="0.25"/>
    <row r="89" s="23" customFormat="1" ht="15.75" customHeight="1" x14ac:dyDescent="0.25"/>
    <row r="90" s="23" customFormat="1" ht="15.75" customHeight="1" x14ac:dyDescent="0.25"/>
    <row r="91" s="23" customFormat="1" ht="15.75" customHeight="1" x14ac:dyDescent="0.25"/>
    <row r="92" s="23" customFormat="1" ht="15.75" customHeight="1" x14ac:dyDescent="0.25"/>
    <row r="93" s="23" customFormat="1" ht="15.75" customHeight="1" x14ac:dyDescent="0.25"/>
    <row r="94" s="23" customFormat="1" ht="15.75" customHeight="1" x14ac:dyDescent="0.25"/>
    <row r="95" s="23" customFormat="1" ht="15.75" customHeight="1" x14ac:dyDescent="0.25"/>
    <row r="96" s="23" customFormat="1" ht="15.75" customHeight="1" x14ac:dyDescent="0.25"/>
    <row r="97" s="23" customFormat="1" ht="15.75" customHeight="1" x14ac:dyDescent="0.25"/>
    <row r="98" s="23" customFormat="1" ht="15.75" customHeight="1" x14ac:dyDescent="0.25"/>
    <row r="99" s="23" customFormat="1" ht="15.75" customHeight="1" x14ac:dyDescent="0.25"/>
    <row r="100" s="23" customFormat="1" ht="15.75" customHeight="1" x14ac:dyDescent="0.25"/>
    <row r="101" s="23" customFormat="1" ht="15.75" customHeight="1" x14ac:dyDescent="0.25"/>
    <row r="102" s="23" customFormat="1" ht="15.75" customHeight="1" x14ac:dyDescent="0.25"/>
    <row r="103" s="23" customFormat="1" ht="15.75" customHeight="1" x14ac:dyDescent="0.25"/>
    <row r="104" s="23" customFormat="1" ht="15.75" customHeight="1" x14ac:dyDescent="0.25"/>
    <row r="105" s="23" customFormat="1" ht="15.75" customHeight="1" x14ac:dyDescent="0.25"/>
    <row r="106" s="23" customFormat="1" ht="15.75" customHeight="1" x14ac:dyDescent="0.25"/>
    <row r="107" s="23" customFormat="1" ht="15.75" customHeight="1" x14ac:dyDescent="0.25"/>
    <row r="108" s="23" customFormat="1" ht="15.75" customHeight="1" x14ac:dyDescent="0.25"/>
    <row r="109" s="23" customFormat="1" ht="15.75" customHeight="1" x14ac:dyDescent="0.25"/>
    <row r="110" s="23" customFormat="1" ht="15.75" customHeight="1" x14ac:dyDescent="0.25"/>
    <row r="111" s="23" customFormat="1" ht="15.75" customHeight="1" x14ac:dyDescent="0.25"/>
    <row r="112" s="23" customFormat="1" ht="15.75" customHeight="1" x14ac:dyDescent="0.25"/>
    <row r="113" s="23" customFormat="1" ht="15.75" customHeight="1" x14ac:dyDescent="0.25"/>
    <row r="114" s="23" customFormat="1" ht="15.75" customHeight="1" x14ac:dyDescent="0.25"/>
    <row r="115" s="23" customFormat="1" ht="15.75" customHeight="1" x14ac:dyDescent="0.25"/>
    <row r="116" s="23" customFormat="1" ht="15.75" customHeight="1" x14ac:dyDescent="0.25"/>
    <row r="117" s="23" customFormat="1" ht="15.75" customHeight="1" x14ac:dyDescent="0.25"/>
    <row r="118" s="23" customFormat="1" ht="15.75" customHeight="1" x14ac:dyDescent="0.25"/>
    <row r="119" s="23" customFormat="1" ht="15.75" customHeight="1" x14ac:dyDescent="0.25"/>
    <row r="120" s="23" customFormat="1" ht="15.75" customHeight="1" x14ac:dyDescent="0.25"/>
    <row r="121" s="23" customFormat="1" ht="15.75" customHeight="1" x14ac:dyDescent="0.25"/>
    <row r="122" s="23" customFormat="1" ht="15.75" customHeight="1" x14ac:dyDescent="0.25"/>
    <row r="123" s="23" customFormat="1" ht="15.75" customHeight="1" x14ac:dyDescent="0.25"/>
    <row r="124" s="23" customFormat="1" ht="15.75" customHeight="1" x14ac:dyDescent="0.25"/>
    <row r="125" s="23" customFormat="1" ht="15.75" customHeight="1" x14ac:dyDescent="0.25"/>
    <row r="126" s="23" customFormat="1" ht="15.75" customHeight="1" x14ac:dyDescent="0.25"/>
    <row r="127" s="23" customFormat="1" ht="15.75" customHeight="1" x14ac:dyDescent="0.25"/>
    <row r="128" s="23" customFormat="1" ht="15.75" customHeight="1" x14ac:dyDescent="0.25"/>
    <row r="129" s="23" customFormat="1" ht="15.75" customHeight="1" x14ac:dyDescent="0.25"/>
    <row r="130" s="23" customFormat="1" ht="15.75" customHeight="1" x14ac:dyDescent="0.25"/>
    <row r="131" s="23" customFormat="1" ht="15.75" customHeight="1" x14ac:dyDescent="0.25"/>
    <row r="132" s="23" customFormat="1" ht="15.75" customHeight="1" x14ac:dyDescent="0.25"/>
    <row r="133" s="23" customFormat="1" ht="15.75" customHeight="1" x14ac:dyDescent="0.25"/>
    <row r="134" s="23" customFormat="1" ht="15.75" customHeight="1" x14ac:dyDescent="0.25"/>
    <row r="135" s="23" customFormat="1" ht="15.75" customHeight="1" x14ac:dyDescent="0.25"/>
    <row r="136" s="23" customFormat="1" ht="15.75" customHeight="1" x14ac:dyDescent="0.25"/>
    <row r="137" s="23" customFormat="1" ht="15.75" customHeight="1" x14ac:dyDescent="0.25"/>
    <row r="138" s="23" customFormat="1" ht="15.75" customHeight="1" x14ac:dyDescent="0.25"/>
    <row r="139" s="23" customFormat="1" ht="15.75" customHeight="1" x14ac:dyDescent="0.25"/>
    <row r="140" s="23" customFormat="1" ht="15.75" customHeight="1" x14ac:dyDescent="0.25"/>
    <row r="141" s="23" customFormat="1" ht="15.75" customHeight="1" x14ac:dyDescent="0.25"/>
    <row r="142" s="23" customFormat="1" ht="15.75" customHeight="1" x14ac:dyDescent="0.25"/>
    <row r="143" s="23" customFormat="1" ht="15.75" customHeight="1" x14ac:dyDescent="0.25"/>
    <row r="144" s="23" customFormat="1" ht="15.75" customHeight="1" x14ac:dyDescent="0.25"/>
    <row r="145" s="23" customFormat="1" ht="15.75" customHeight="1" x14ac:dyDescent="0.25"/>
    <row r="146" s="23" customFormat="1" ht="15.75" customHeight="1" x14ac:dyDescent="0.25"/>
    <row r="147" s="23" customFormat="1" ht="15.75" customHeight="1" x14ac:dyDescent="0.25"/>
    <row r="148" s="23" customFormat="1" ht="15.75" customHeight="1" x14ac:dyDescent="0.25"/>
    <row r="149" s="23" customFormat="1" ht="15.75" customHeight="1" x14ac:dyDescent="0.25"/>
    <row r="150" s="23" customFormat="1" ht="15.75" customHeight="1" x14ac:dyDescent="0.25"/>
    <row r="151" s="23" customFormat="1" ht="15.75" customHeight="1" x14ac:dyDescent="0.25"/>
    <row r="152" s="23" customFormat="1" ht="15.75" customHeight="1" x14ac:dyDescent="0.25"/>
    <row r="153" s="23" customFormat="1" ht="15.75" customHeight="1" x14ac:dyDescent="0.25"/>
    <row r="154" s="23" customFormat="1" ht="15.75" customHeight="1" x14ac:dyDescent="0.25"/>
    <row r="155" s="23" customFormat="1" ht="15.75" customHeight="1" x14ac:dyDescent="0.25"/>
    <row r="156" s="23" customFormat="1" ht="15.75" customHeight="1" x14ac:dyDescent="0.25"/>
    <row r="157" s="23" customFormat="1" ht="15.75" customHeight="1" x14ac:dyDescent="0.25"/>
    <row r="158" s="23" customFormat="1" ht="15.75" customHeight="1" x14ac:dyDescent="0.25"/>
    <row r="159" s="23" customFormat="1" ht="15.75" customHeight="1" x14ac:dyDescent="0.25"/>
    <row r="160" s="23" customFormat="1" ht="15.75" customHeight="1" x14ac:dyDescent="0.25"/>
    <row r="161" s="23" customFormat="1" ht="15.75" customHeight="1" x14ac:dyDescent="0.25"/>
    <row r="162" s="23" customFormat="1" ht="15.75" customHeight="1" x14ac:dyDescent="0.25"/>
    <row r="163" s="23" customFormat="1" ht="15.75" customHeight="1" x14ac:dyDescent="0.25"/>
    <row r="164" s="23" customFormat="1" ht="15.75" customHeight="1" x14ac:dyDescent="0.25"/>
    <row r="165" s="23" customFormat="1" ht="15.75" customHeight="1" x14ac:dyDescent="0.25"/>
    <row r="166" s="23" customFormat="1" ht="15.75" customHeight="1" x14ac:dyDescent="0.25"/>
    <row r="167" s="23" customFormat="1" ht="15.75" customHeight="1" x14ac:dyDescent="0.25"/>
    <row r="168" s="23" customFormat="1" ht="15.75" customHeight="1" x14ac:dyDescent="0.25"/>
    <row r="169" s="23" customFormat="1" ht="15.75" customHeight="1" x14ac:dyDescent="0.25"/>
    <row r="170" s="23" customFormat="1" ht="15.75" customHeight="1" x14ac:dyDescent="0.25"/>
    <row r="171" s="23" customFormat="1" ht="15.75" customHeight="1" x14ac:dyDescent="0.25"/>
    <row r="172" s="23" customFormat="1" ht="15.75" customHeight="1" x14ac:dyDescent="0.25"/>
    <row r="173" s="23" customFormat="1" ht="15.75" customHeight="1" x14ac:dyDescent="0.25"/>
    <row r="174" s="23" customFormat="1" ht="15.75" customHeight="1" x14ac:dyDescent="0.25"/>
    <row r="175" s="23" customFormat="1" ht="15.75" customHeight="1" x14ac:dyDescent="0.25"/>
    <row r="176" s="23" customFormat="1" ht="15.75" customHeight="1" x14ac:dyDescent="0.25"/>
    <row r="177" s="23" customFormat="1" ht="15.75" customHeight="1" x14ac:dyDescent="0.25"/>
    <row r="178" s="23" customFormat="1" ht="15.75" customHeight="1" x14ac:dyDescent="0.25"/>
    <row r="179" s="23" customFormat="1" ht="15.75" customHeight="1" x14ac:dyDescent="0.25"/>
    <row r="180" s="23" customFormat="1" ht="15.75" customHeight="1" x14ac:dyDescent="0.25"/>
    <row r="181" s="23" customFormat="1" ht="15.75" customHeight="1" x14ac:dyDescent="0.25"/>
    <row r="182" s="23" customFormat="1" ht="15.75" customHeight="1" x14ac:dyDescent="0.25"/>
    <row r="183" s="23" customFormat="1" ht="15.75" customHeight="1" x14ac:dyDescent="0.25"/>
    <row r="184" s="23" customFormat="1" ht="15.75" customHeight="1" x14ac:dyDescent="0.25"/>
    <row r="185" s="23" customFormat="1" ht="15.75" customHeight="1" x14ac:dyDescent="0.25"/>
    <row r="186" s="23" customFormat="1" ht="15.75" customHeight="1" x14ac:dyDescent="0.25"/>
    <row r="187" s="23" customFormat="1" ht="15.75" customHeight="1" x14ac:dyDescent="0.25"/>
    <row r="188" s="23" customFormat="1" ht="15.75" customHeight="1" x14ac:dyDescent="0.25"/>
    <row r="189" s="23" customFormat="1" ht="15.75" customHeight="1" x14ac:dyDescent="0.25"/>
    <row r="190" s="23" customFormat="1" ht="15.75" customHeight="1" x14ac:dyDescent="0.25"/>
    <row r="191" s="23" customFormat="1" ht="15.75" customHeight="1" x14ac:dyDescent="0.25"/>
    <row r="192" s="23" customFormat="1" ht="15.75" customHeight="1" x14ac:dyDescent="0.25"/>
    <row r="193" s="23" customFormat="1" ht="15.75" customHeight="1" x14ac:dyDescent="0.25"/>
    <row r="194" s="23" customFormat="1" ht="15.75" customHeight="1" x14ac:dyDescent="0.25"/>
    <row r="195" s="23" customFormat="1" ht="15.75" customHeight="1" x14ac:dyDescent="0.25"/>
    <row r="196" s="23" customFormat="1" ht="15.75" customHeight="1" x14ac:dyDescent="0.25"/>
    <row r="197" s="23" customFormat="1" ht="15.75" customHeight="1" x14ac:dyDescent="0.25"/>
    <row r="198" s="23" customFormat="1" ht="15.75" customHeight="1" x14ac:dyDescent="0.25"/>
    <row r="199" s="23" customFormat="1" ht="15.75" customHeight="1" x14ac:dyDescent="0.25"/>
    <row r="200" s="23" customFormat="1" ht="15.75" customHeight="1" x14ac:dyDescent="0.25"/>
    <row r="201" s="23" customFormat="1" ht="15.75" customHeight="1" x14ac:dyDescent="0.25"/>
    <row r="202" s="23" customFormat="1" ht="15.75" customHeight="1" x14ac:dyDescent="0.25"/>
    <row r="203" s="23" customFormat="1" ht="15.75" customHeight="1" x14ac:dyDescent="0.25"/>
    <row r="204" s="23" customFormat="1" ht="15.75" customHeight="1" x14ac:dyDescent="0.25"/>
    <row r="205" s="23" customFormat="1" ht="15.75" customHeight="1" x14ac:dyDescent="0.25"/>
    <row r="206" s="23" customFormat="1" ht="15.75" customHeight="1" x14ac:dyDescent="0.25"/>
    <row r="207" s="23" customFormat="1" ht="15.75" customHeight="1" x14ac:dyDescent="0.25"/>
    <row r="208" s="23" customFormat="1" ht="15.75" customHeight="1" x14ac:dyDescent="0.25"/>
    <row r="209" s="23" customFormat="1" ht="15.75" customHeight="1" x14ac:dyDescent="0.25"/>
    <row r="210" s="23" customFormat="1" ht="15.75" customHeight="1" x14ac:dyDescent="0.25"/>
    <row r="211" s="23" customFormat="1" ht="15.75" customHeight="1" x14ac:dyDescent="0.25"/>
    <row r="212" s="23" customFormat="1" ht="15.75" customHeight="1" x14ac:dyDescent="0.25"/>
    <row r="213" s="23" customFormat="1" ht="15.75" customHeight="1" x14ac:dyDescent="0.25"/>
    <row r="214" s="23" customFormat="1" ht="15.75" customHeight="1" x14ac:dyDescent="0.25"/>
    <row r="215" s="23" customFormat="1" ht="15.75" customHeight="1" x14ac:dyDescent="0.25"/>
    <row r="216" s="23" customFormat="1" ht="15.75" customHeight="1" x14ac:dyDescent="0.25"/>
    <row r="217" s="23" customFormat="1" ht="15.75" customHeight="1" x14ac:dyDescent="0.25"/>
    <row r="218" s="23" customFormat="1" ht="15.75" customHeight="1" x14ac:dyDescent="0.25"/>
    <row r="219" s="23" customFormat="1" ht="15.75" customHeight="1" x14ac:dyDescent="0.25"/>
    <row r="220" s="23" customFormat="1" ht="15.75" customHeight="1" x14ac:dyDescent="0.25"/>
    <row r="221" s="23" customFormat="1" ht="15.75" customHeight="1" x14ac:dyDescent="0.25"/>
    <row r="222" s="23" customFormat="1" ht="15.75" customHeight="1" x14ac:dyDescent="0.25"/>
    <row r="223" s="23" customFormat="1" ht="15.75" customHeight="1" x14ac:dyDescent="0.25"/>
    <row r="224" s="23" customFormat="1" ht="15.75" customHeight="1" x14ac:dyDescent="0.25"/>
    <row r="225" s="23" customFormat="1" ht="15.75" customHeight="1" x14ac:dyDescent="0.25"/>
    <row r="226" s="23" customFormat="1" ht="15.75" customHeight="1" x14ac:dyDescent="0.25"/>
    <row r="227" s="23" customFormat="1" ht="15.75" customHeight="1" x14ac:dyDescent="0.25"/>
    <row r="228" s="23" customFormat="1" ht="15.75" customHeight="1" x14ac:dyDescent="0.25"/>
    <row r="229" s="23" customFormat="1" ht="15.75" customHeight="1" x14ac:dyDescent="0.25"/>
    <row r="230" s="23" customFormat="1" ht="15.75" customHeight="1" x14ac:dyDescent="0.25"/>
    <row r="231" s="23" customFormat="1" ht="15.75" customHeight="1" x14ac:dyDescent="0.25"/>
    <row r="232" s="23" customFormat="1" ht="15.75" customHeight="1" x14ac:dyDescent="0.25"/>
    <row r="233" s="23" customFormat="1" ht="15.75" customHeight="1" x14ac:dyDescent="0.25"/>
    <row r="234" s="23" customFormat="1" ht="15.75" customHeight="1" x14ac:dyDescent="0.25"/>
    <row r="235" s="23" customFormat="1" ht="15.75" customHeight="1" x14ac:dyDescent="0.25"/>
    <row r="236" s="23" customFormat="1" ht="15.75" customHeight="1" x14ac:dyDescent="0.25"/>
    <row r="237" s="23" customFormat="1" ht="15.75" customHeight="1" x14ac:dyDescent="0.25"/>
    <row r="238" s="23" customFormat="1" ht="15.75" customHeight="1" x14ac:dyDescent="0.25"/>
    <row r="239" s="23" customFormat="1" ht="15.75" customHeight="1" x14ac:dyDescent="0.25"/>
    <row r="240" s="23" customFormat="1" ht="15.75" customHeight="1" x14ac:dyDescent="0.25"/>
    <row r="241" s="23" customFormat="1" ht="15.75" customHeight="1" x14ac:dyDescent="0.25"/>
    <row r="242" s="23" customFormat="1" ht="15.75" customHeight="1" x14ac:dyDescent="0.25"/>
    <row r="243" s="23" customFormat="1" ht="15.75" customHeight="1" x14ac:dyDescent="0.25"/>
    <row r="244" s="23" customFormat="1" ht="15.75" customHeight="1" x14ac:dyDescent="0.25"/>
    <row r="245" s="23" customFormat="1" ht="15.75" customHeight="1" x14ac:dyDescent="0.25"/>
    <row r="246" s="23" customFormat="1" ht="15.75" customHeight="1" x14ac:dyDescent="0.25"/>
    <row r="247" s="23" customFormat="1" ht="15.75" customHeight="1" x14ac:dyDescent="0.25"/>
    <row r="248" s="23" customFormat="1" ht="15.75" customHeight="1" x14ac:dyDescent="0.25"/>
    <row r="249" s="23" customFormat="1" ht="15.75" customHeight="1" x14ac:dyDescent="0.25"/>
    <row r="250" s="23" customFormat="1" ht="15.75" customHeight="1" x14ac:dyDescent="0.25"/>
    <row r="251" s="23" customFormat="1" ht="15.75" customHeight="1" x14ac:dyDescent="0.25"/>
    <row r="252" s="23" customFormat="1" ht="15.75" customHeight="1" x14ac:dyDescent="0.25"/>
    <row r="253" s="23" customFormat="1" ht="15.75" customHeight="1" x14ac:dyDescent="0.25"/>
    <row r="254" s="23" customFormat="1" ht="15.75" customHeight="1" x14ac:dyDescent="0.25"/>
    <row r="255" s="23" customFormat="1" ht="15.75" customHeight="1" x14ac:dyDescent="0.25"/>
    <row r="256" s="23" customFormat="1" ht="15.75" customHeight="1" x14ac:dyDescent="0.25"/>
    <row r="257" s="23" customFormat="1" ht="15.75" customHeight="1" x14ac:dyDescent="0.25"/>
    <row r="258" s="23" customFormat="1" ht="15.75" customHeight="1" x14ac:dyDescent="0.25"/>
    <row r="259" s="23" customFormat="1" ht="15.75" customHeight="1" x14ac:dyDescent="0.25"/>
    <row r="260" s="23" customFormat="1" ht="15.75" customHeight="1" x14ac:dyDescent="0.25"/>
    <row r="261" s="23" customFormat="1" ht="15.75" customHeight="1" x14ac:dyDescent="0.25"/>
    <row r="262" s="23" customFormat="1" ht="15.75" customHeight="1" x14ac:dyDescent="0.25"/>
    <row r="263" s="23" customFormat="1" ht="15.75" customHeight="1" x14ac:dyDescent="0.25"/>
    <row r="264" s="23" customFormat="1" ht="15.75" customHeight="1" x14ac:dyDescent="0.25"/>
    <row r="265" s="23" customFormat="1" ht="15.75" customHeight="1" x14ac:dyDescent="0.25"/>
    <row r="266" s="23" customFormat="1" ht="15.75" customHeight="1" x14ac:dyDescent="0.25"/>
    <row r="267" s="23" customFormat="1" ht="15.75" customHeight="1" x14ac:dyDescent="0.25"/>
    <row r="268" s="23" customFormat="1" ht="15.75" customHeight="1" x14ac:dyDescent="0.25"/>
    <row r="269" s="23" customFormat="1" ht="15.75" customHeight="1" x14ac:dyDescent="0.25"/>
    <row r="270" s="23" customFormat="1" ht="15.75" customHeight="1" x14ac:dyDescent="0.25"/>
    <row r="271" s="23" customFormat="1" ht="15.75" customHeight="1" x14ac:dyDescent="0.25"/>
    <row r="272" s="23" customFormat="1" ht="15.75" customHeight="1" x14ac:dyDescent="0.25"/>
    <row r="273" s="23" customFormat="1" ht="15.75" customHeight="1" x14ac:dyDescent="0.25"/>
    <row r="274" s="23" customFormat="1" ht="15.75" customHeight="1" x14ac:dyDescent="0.25"/>
    <row r="275" s="23" customFormat="1" ht="15.75" customHeight="1" x14ac:dyDescent="0.25"/>
    <row r="276" s="23" customFormat="1" ht="15.75" customHeight="1" x14ac:dyDescent="0.25"/>
    <row r="277" s="23" customFormat="1" ht="15.75" customHeight="1" x14ac:dyDescent="0.25"/>
    <row r="278" s="23" customFormat="1" ht="15.75" customHeight="1" x14ac:dyDescent="0.25"/>
    <row r="279" s="23" customFormat="1" ht="15.75" customHeight="1" x14ac:dyDescent="0.25"/>
    <row r="280" s="23" customFormat="1" ht="15.75" customHeight="1" x14ac:dyDescent="0.25"/>
    <row r="281" s="23" customFormat="1" ht="15.75" customHeight="1" x14ac:dyDescent="0.25"/>
    <row r="282" s="23" customFormat="1" ht="15.75" customHeight="1" x14ac:dyDescent="0.25"/>
    <row r="283" s="23" customFormat="1" ht="15.75" customHeight="1" x14ac:dyDescent="0.25"/>
    <row r="284" s="23" customFormat="1" ht="15.75" customHeight="1" x14ac:dyDescent="0.25"/>
    <row r="285" s="23" customFormat="1" ht="15.75" customHeight="1" x14ac:dyDescent="0.25"/>
    <row r="286" s="23" customFormat="1" ht="15.75" customHeight="1" x14ac:dyDescent="0.25"/>
    <row r="287" s="23" customFormat="1" ht="15.75" customHeight="1" x14ac:dyDescent="0.25"/>
    <row r="288" s="23" customFormat="1" ht="15.75" customHeight="1" x14ac:dyDescent="0.25"/>
    <row r="289" s="23" customFormat="1" ht="15.75" customHeight="1" x14ac:dyDescent="0.25"/>
    <row r="290" s="23" customFormat="1" ht="15.75" customHeight="1" x14ac:dyDescent="0.25"/>
    <row r="291" s="23" customFormat="1" ht="15.75" customHeight="1" x14ac:dyDescent="0.25"/>
    <row r="292" s="23" customFormat="1" ht="15.75" customHeight="1" x14ac:dyDescent="0.25"/>
    <row r="293" s="23" customFormat="1" ht="15.75" customHeight="1" x14ac:dyDescent="0.25"/>
    <row r="294" s="23" customFormat="1" ht="15.75" customHeight="1" x14ac:dyDescent="0.25"/>
    <row r="295" s="23" customFormat="1" ht="15.75" customHeight="1" x14ac:dyDescent="0.25"/>
    <row r="296" s="23" customFormat="1" ht="15.75" customHeight="1" x14ac:dyDescent="0.25"/>
    <row r="297" s="23" customFormat="1" ht="15.75" customHeight="1" x14ac:dyDescent="0.25"/>
    <row r="298" s="23" customFormat="1" ht="15.75" customHeight="1" x14ac:dyDescent="0.25"/>
    <row r="299" s="23" customFormat="1" ht="15.75" customHeight="1" x14ac:dyDescent="0.25"/>
    <row r="300" s="23" customFormat="1" ht="15.75" customHeight="1" x14ac:dyDescent="0.25"/>
    <row r="301" s="23" customFormat="1" ht="15.75" customHeight="1" x14ac:dyDescent="0.25"/>
    <row r="302" s="23" customFormat="1" ht="15.75" customHeight="1" x14ac:dyDescent="0.25"/>
    <row r="303" s="23" customFormat="1" ht="15.75" customHeight="1" x14ac:dyDescent="0.25"/>
    <row r="304" s="23" customFormat="1" ht="15.75" customHeight="1" x14ac:dyDescent="0.25"/>
    <row r="305" s="23" customFormat="1" ht="15.75" customHeight="1" x14ac:dyDescent="0.25"/>
    <row r="306" s="23" customFormat="1" ht="15.75" customHeight="1" x14ac:dyDescent="0.25"/>
    <row r="307" s="23" customFormat="1" ht="15.75" customHeight="1" x14ac:dyDescent="0.25"/>
    <row r="308" s="23" customFormat="1" ht="15.75" customHeight="1" x14ac:dyDescent="0.25"/>
    <row r="309" s="23" customFormat="1" ht="15.75" customHeight="1" x14ac:dyDescent="0.25"/>
    <row r="310" s="23" customFormat="1" ht="15.75" customHeight="1" x14ac:dyDescent="0.25"/>
    <row r="311" s="23" customFormat="1" ht="15.75" customHeight="1" x14ac:dyDescent="0.25"/>
    <row r="312" s="23" customFormat="1" ht="15.75" customHeight="1" x14ac:dyDescent="0.25"/>
    <row r="313" s="23" customFormat="1" ht="15.75" customHeight="1" x14ac:dyDescent="0.25"/>
    <row r="314" s="23" customFormat="1" ht="15.75" customHeight="1" x14ac:dyDescent="0.25"/>
    <row r="315" s="23" customFormat="1" ht="15.75" customHeight="1" x14ac:dyDescent="0.25"/>
    <row r="316" s="23" customFormat="1" ht="15.75" customHeight="1" x14ac:dyDescent="0.25"/>
    <row r="317" s="23" customFormat="1" ht="15.75" customHeight="1" x14ac:dyDescent="0.25"/>
    <row r="318" s="23" customFormat="1" ht="15.75" customHeight="1" x14ac:dyDescent="0.25"/>
    <row r="319" s="23" customFormat="1" ht="15.75" customHeight="1" x14ac:dyDescent="0.25"/>
    <row r="320" s="23" customFormat="1" ht="15.75" customHeight="1" x14ac:dyDescent="0.25"/>
    <row r="321" s="23" customFormat="1" ht="15.75" customHeight="1" x14ac:dyDescent="0.25"/>
    <row r="322" s="23" customFormat="1" ht="15.75" customHeight="1" x14ac:dyDescent="0.25"/>
    <row r="323" s="23" customFormat="1" ht="15.75" customHeight="1" x14ac:dyDescent="0.25"/>
    <row r="324" s="23" customFormat="1" ht="15.75" customHeight="1" x14ac:dyDescent="0.25"/>
    <row r="325" s="23" customFormat="1" ht="15.75" customHeight="1" x14ac:dyDescent="0.25"/>
    <row r="326" s="23" customFormat="1" ht="15.75" customHeight="1" x14ac:dyDescent="0.25"/>
    <row r="327" s="23" customFormat="1" ht="15.75" customHeight="1" x14ac:dyDescent="0.25"/>
    <row r="328" s="23" customFormat="1" ht="15.75" customHeight="1" x14ac:dyDescent="0.25"/>
    <row r="329" s="23" customFormat="1" ht="15.75" customHeight="1" x14ac:dyDescent="0.25"/>
    <row r="330" s="23" customFormat="1" ht="15.75" customHeight="1" x14ac:dyDescent="0.25"/>
    <row r="331" s="23" customFormat="1" ht="15.75" customHeight="1" x14ac:dyDescent="0.25"/>
    <row r="332" s="23" customFormat="1" ht="15.75" customHeight="1" x14ac:dyDescent="0.25"/>
    <row r="333" s="23" customFormat="1" ht="15.75" customHeight="1" x14ac:dyDescent="0.25"/>
    <row r="334" s="23" customFormat="1" ht="15.75" customHeight="1" x14ac:dyDescent="0.25"/>
    <row r="335" s="23" customFormat="1" ht="15.75" customHeight="1" x14ac:dyDescent="0.25"/>
    <row r="336" s="23" customFormat="1" ht="15.75" customHeight="1" x14ac:dyDescent="0.25"/>
    <row r="337" s="23" customFormat="1" ht="15.75" customHeight="1" x14ac:dyDescent="0.25"/>
    <row r="338" s="23" customFormat="1" ht="15.75" customHeight="1" x14ac:dyDescent="0.25"/>
    <row r="339" s="23" customFormat="1" ht="15.75" customHeight="1" x14ac:dyDescent="0.25"/>
    <row r="340" s="23" customFormat="1" ht="15.75" customHeight="1" x14ac:dyDescent="0.25"/>
    <row r="341" s="23" customFormat="1" ht="15.75" customHeight="1" x14ac:dyDescent="0.25"/>
    <row r="342" s="23" customFormat="1" ht="15.75" customHeight="1" x14ac:dyDescent="0.25"/>
    <row r="343" s="23" customFormat="1" ht="15.75" customHeight="1" x14ac:dyDescent="0.25"/>
    <row r="344" s="23" customFormat="1" ht="15.75" customHeight="1" x14ac:dyDescent="0.25"/>
    <row r="345" s="23" customFormat="1" ht="15.75" customHeight="1" x14ac:dyDescent="0.25"/>
    <row r="346" s="23" customFormat="1" ht="15.75" customHeight="1" x14ac:dyDescent="0.25"/>
    <row r="347" s="23" customFormat="1" ht="15.75" customHeight="1" x14ac:dyDescent="0.25"/>
    <row r="348" s="23" customFormat="1" ht="15.75" customHeight="1" x14ac:dyDescent="0.25"/>
    <row r="349" s="23" customFormat="1" ht="15.75" customHeight="1" x14ac:dyDescent="0.25"/>
    <row r="350" s="23" customFormat="1" ht="15.75" customHeight="1" x14ac:dyDescent="0.25"/>
    <row r="351" s="23" customFormat="1" ht="15.75" customHeight="1" x14ac:dyDescent="0.25"/>
    <row r="352" s="23" customFormat="1" ht="15.75" customHeight="1" x14ac:dyDescent="0.25"/>
    <row r="353" s="23" customFormat="1" ht="15.75" customHeight="1" x14ac:dyDescent="0.25"/>
    <row r="354" s="23" customFormat="1" ht="15.75" customHeight="1" x14ac:dyDescent="0.25"/>
    <row r="355" s="23" customFormat="1" ht="15.75" customHeight="1" x14ac:dyDescent="0.25"/>
    <row r="356" s="23" customFormat="1" ht="15.75" customHeight="1" x14ac:dyDescent="0.25"/>
    <row r="357" s="23" customFormat="1" ht="15.75" customHeight="1" x14ac:dyDescent="0.25"/>
    <row r="358" s="23" customFormat="1" ht="15.75" customHeight="1" x14ac:dyDescent="0.25"/>
    <row r="359" s="23" customFormat="1" ht="15.75" customHeight="1" x14ac:dyDescent="0.25"/>
    <row r="360" s="23" customFormat="1" ht="15.75" customHeight="1" x14ac:dyDescent="0.25"/>
    <row r="361" s="23" customFormat="1" ht="15.75" customHeight="1" x14ac:dyDescent="0.25"/>
    <row r="362" s="23" customFormat="1" ht="15.75" customHeight="1" x14ac:dyDescent="0.25"/>
    <row r="363" s="23" customFormat="1" ht="15.75" customHeight="1" x14ac:dyDescent="0.25"/>
    <row r="364" s="23" customFormat="1" ht="15.75" customHeight="1" x14ac:dyDescent="0.25"/>
    <row r="365" s="23" customFormat="1" ht="15.75" customHeight="1" x14ac:dyDescent="0.25"/>
    <row r="366" s="23" customFormat="1" ht="15.75" customHeight="1" x14ac:dyDescent="0.25"/>
    <row r="367" s="23" customFormat="1" ht="15.75" customHeight="1" x14ac:dyDescent="0.25"/>
    <row r="368" s="23" customFormat="1" ht="15.75" customHeight="1" x14ac:dyDescent="0.25"/>
    <row r="369" s="23" customFormat="1" ht="15.75" customHeight="1" x14ac:dyDescent="0.25"/>
    <row r="370" s="23" customFormat="1" ht="15.75" customHeight="1" x14ac:dyDescent="0.25"/>
    <row r="371" s="23" customFormat="1" ht="15.75" customHeight="1" x14ac:dyDescent="0.25"/>
    <row r="372" s="23" customFormat="1" ht="15.75" customHeight="1" x14ac:dyDescent="0.25"/>
    <row r="373" s="23" customFormat="1" ht="15.75" customHeight="1" x14ac:dyDescent="0.25"/>
    <row r="374" s="23" customFormat="1" ht="15.75" customHeight="1" x14ac:dyDescent="0.25"/>
    <row r="375" s="23" customFormat="1" ht="15.75" customHeight="1" x14ac:dyDescent="0.25"/>
    <row r="376" s="23" customFormat="1" ht="15.75" customHeight="1" x14ac:dyDescent="0.25"/>
    <row r="377" s="23" customFormat="1" ht="15.75" customHeight="1" x14ac:dyDescent="0.25"/>
    <row r="378" s="23" customFormat="1" ht="15.75" customHeight="1" x14ac:dyDescent="0.25"/>
    <row r="379" s="23" customFormat="1" ht="15.75" customHeight="1" x14ac:dyDescent="0.25"/>
    <row r="380" s="23" customFormat="1" ht="15.75" customHeight="1" x14ac:dyDescent="0.25"/>
    <row r="381" s="23" customFormat="1" ht="15.75" customHeight="1" x14ac:dyDescent="0.25"/>
    <row r="382" s="23" customFormat="1" ht="15.75" customHeight="1" x14ac:dyDescent="0.25"/>
    <row r="383" s="23" customFormat="1" ht="15.75" customHeight="1" x14ac:dyDescent="0.25"/>
    <row r="384" s="23" customFormat="1" ht="15.75" customHeight="1" x14ac:dyDescent="0.25"/>
    <row r="385" s="23" customFormat="1" ht="15.75" customHeight="1" x14ac:dyDescent="0.25"/>
    <row r="386" s="23" customFormat="1" ht="15.75" customHeight="1" x14ac:dyDescent="0.25"/>
    <row r="387" s="23" customFormat="1" ht="15.75" customHeight="1" x14ac:dyDescent="0.25"/>
    <row r="388" s="23" customFormat="1" ht="15.75" customHeight="1" x14ac:dyDescent="0.25"/>
    <row r="389" s="23" customFormat="1" ht="15.75" customHeight="1" x14ac:dyDescent="0.25"/>
    <row r="390" s="23" customFormat="1" ht="15.75" customHeight="1" x14ac:dyDescent="0.25"/>
    <row r="391" s="23" customFormat="1" ht="15.75" customHeight="1" x14ac:dyDescent="0.25"/>
    <row r="392" s="23" customFormat="1" ht="15.75" customHeight="1" x14ac:dyDescent="0.25"/>
    <row r="393" s="23" customFormat="1" ht="15.75" customHeight="1" x14ac:dyDescent="0.25"/>
    <row r="394" s="23" customFormat="1" ht="15.75" customHeight="1" x14ac:dyDescent="0.25"/>
    <row r="395" s="23" customFormat="1" ht="15.75" customHeight="1" x14ac:dyDescent="0.25"/>
    <row r="396" s="23" customFormat="1" ht="15.75" customHeight="1" x14ac:dyDescent="0.25"/>
    <row r="397" s="23" customFormat="1" ht="15.75" customHeight="1" x14ac:dyDescent="0.25"/>
    <row r="398" s="23" customFormat="1" ht="15.75" customHeight="1" x14ac:dyDescent="0.25"/>
    <row r="399" s="23" customFormat="1" ht="15.75" customHeight="1" x14ac:dyDescent="0.25"/>
    <row r="400" s="23" customFormat="1" ht="15.75" customHeight="1" x14ac:dyDescent="0.25"/>
    <row r="401" s="23" customFormat="1" ht="15.75" customHeight="1" x14ac:dyDescent="0.25"/>
    <row r="402" s="23" customFormat="1" ht="15.75" customHeight="1" x14ac:dyDescent="0.25"/>
    <row r="403" s="23" customFormat="1" ht="15.75" customHeight="1" x14ac:dyDescent="0.25"/>
    <row r="404" s="23" customFormat="1" ht="15.75" customHeight="1" x14ac:dyDescent="0.25"/>
    <row r="405" s="23" customFormat="1" ht="15.75" customHeight="1" x14ac:dyDescent="0.25"/>
    <row r="406" s="23" customFormat="1" ht="15.75" customHeight="1" x14ac:dyDescent="0.25"/>
    <row r="407" s="23" customFormat="1" ht="15.75" customHeight="1" x14ac:dyDescent="0.25"/>
    <row r="408" s="23" customFormat="1" ht="15.75" customHeight="1" x14ac:dyDescent="0.25"/>
    <row r="409" s="23" customFormat="1" ht="15.75" customHeight="1" x14ac:dyDescent="0.25"/>
    <row r="410" s="23" customFormat="1" ht="15.75" customHeight="1" x14ac:dyDescent="0.25"/>
    <row r="411" s="23" customFormat="1" ht="15.75" customHeight="1" x14ac:dyDescent="0.25"/>
    <row r="412" s="23" customFormat="1" ht="15.75" customHeight="1" x14ac:dyDescent="0.25"/>
    <row r="413" s="23" customFormat="1" ht="15.75" customHeight="1" x14ac:dyDescent="0.25"/>
    <row r="414" s="23" customFormat="1" ht="15.75" customHeight="1" x14ac:dyDescent="0.25"/>
    <row r="415" s="23" customFormat="1" ht="15.75" customHeight="1" x14ac:dyDescent="0.25"/>
    <row r="416" s="23" customFormat="1" ht="15.75" customHeight="1" x14ac:dyDescent="0.25"/>
    <row r="417" s="23" customFormat="1" ht="15.75" customHeight="1" x14ac:dyDescent="0.25"/>
    <row r="418" s="23" customFormat="1" ht="15.75" customHeight="1" x14ac:dyDescent="0.25"/>
    <row r="419" s="23" customFormat="1" ht="15.75" customHeight="1" x14ac:dyDescent="0.25"/>
    <row r="420" s="23" customFormat="1" ht="15.75" customHeight="1" x14ac:dyDescent="0.25"/>
    <row r="421" s="23" customFormat="1" ht="15.75" customHeight="1" x14ac:dyDescent="0.25"/>
    <row r="422" s="23" customFormat="1" ht="15.75" customHeight="1" x14ac:dyDescent="0.25"/>
    <row r="423" s="23" customFormat="1" ht="15.75" customHeight="1" x14ac:dyDescent="0.25"/>
    <row r="424" s="23" customFormat="1" ht="15.75" customHeight="1" x14ac:dyDescent="0.25"/>
    <row r="425" s="23" customFormat="1" ht="15.75" customHeight="1" x14ac:dyDescent="0.25"/>
    <row r="426" s="23" customFormat="1" ht="15.75" customHeight="1" x14ac:dyDescent="0.25"/>
    <row r="427" s="23" customFormat="1" ht="15.75" customHeight="1" x14ac:dyDescent="0.25"/>
    <row r="428" s="23" customFormat="1" ht="15.75" customHeight="1" x14ac:dyDescent="0.25"/>
    <row r="429" s="23" customFormat="1" ht="15.75" customHeight="1" x14ac:dyDescent="0.25"/>
    <row r="430" s="23" customFormat="1" ht="15.75" customHeight="1" x14ac:dyDescent="0.25"/>
    <row r="431" s="23" customFormat="1" ht="15.75" customHeight="1" x14ac:dyDescent="0.25"/>
    <row r="432" s="23" customFormat="1" ht="15.75" customHeight="1" x14ac:dyDescent="0.25"/>
    <row r="433" s="23" customFormat="1" ht="15.75" customHeight="1" x14ac:dyDescent="0.25"/>
    <row r="434" s="23" customFormat="1" ht="15.75" customHeight="1" x14ac:dyDescent="0.25"/>
    <row r="435" s="23" customFormat="1" ht="15.75" customHeight="1" x14ac:dyDescent="0.25"/>
    <row r="436" s="23" customFormat="1" ht="15.75" customHeight="1" x14ac:dyDescent="0.25"/>
    <row r="437" s="23" customFormat="1" ht="15.75" customHeight="1" x14ac:dyDescent="0.25"/>
    <row r="438" s="23" customFormat="1" ht="15.75" customHeight="1" x14ac:dyDescent="0.25"/>
    <row r="439" s="23" customFormat="1" ht="15.75" customHeight="1" x14ac:dyDescent="0.25"/>
    <row r="440" s="23" customFormat="1" ht="15.75" customHeight="1" x14ac:dyDescent="0.25"/>
    <row r="441" s="23" customFormat="1" ht="15.75" customHeight="1" x14ac:dyDescent="0.25"/>
    <row r="442" s="23" customFormat="1" ht="15.75" customHeight="1" x14ac:dyDescent="0.25"/>
    <row r="443" s="23" customFormat="1" ht="15.75" customHeight="1" x14ac:dyDescent="0.25"/>
    <row r="444" s="23" customFormat="1" ht="15.75" customHeight="1" x14ac:dyDescent="0.25"/>
    <row r="445" s="23" customFormat="1" ht="15.75" customHeight="1" x14ac:dyDescent="0.25"/>
    <row r="446" s="23" customFormat="1" ht="15.75" customHeight="1" x14ac:dyDescent="0.25"/>
    <row r="447" s="23" customFormat="1" ht="15.75" customHeight="1" x14ac:dyDescent="0.25"/>
    <row r="448" s="23" customFormat="1" ht="15.75" customHeight="1" x14ac:dyDescent="0.25"/>
    <row r="449" s="23" customFormat="1" ht="15.75" customHeight="1" x14ac:dyDescent="0.25"/>
    <row r="450" s="23" customFormat="1" ht="15.75" customHeight="1" x14ac:dyDescent="0.25"/>
    <row r="451" s="23" customFormat="1" ht="15.75" customHeight="1" x14ac:dyDescent="0.25"/>
    <row r="452" s="23" customFormat="1" ht="15.75" customHeight="1" x14ac:dyDescent="0.25"/>
    <row r="453" s="23" customFormat="1" ht="15.75" customHeight="1" x14ac:dyDescent="0.25"/>
    <row r="454" s="23" customFormat="1" ht="15.75" customHeight="1" x14ac:dyDescent="0.25"/>
    <row r="455" s="23" customFormat="1" ht="15.75" customHeight="1" x14ac:dyDescent="0.25"/>
    <row r="456" s="23" customFormat="1" ht="15.75" customHeight="1" x14ac:dyDescent="0.25"/>
    <row r="457" s="23" customFormat="1" ht="15.75" customHeight="1" x14ac:dyDescent="0.25"/>
    <row r="458" s="23" customFormat="1" ht="15.75" customHeight="1" x14ac:dyDescent="0.25"/>
    <row r="459" s="23" customFormat="1" ht="15.75" customHeight="1" x14ac:dyDescent="0.25"/>
    <row r="460" s="23" customFormat="1" ht="15.75" customHeight="1" x14ac:dyDescent="0.25"/>
    <row r="461" s="23" customFormat="1" ht="15.75" customHeight="1" x14ac:dyDescent="0.25"/>
    <row r="462" s="23" customFormat="1" ht="15.75" customHeight="1" x14ac:dyDescent="0.25"/>
    <row r="463" s="23" customFormat="1" ht="15.75" customHeight="1" x14ac:dyDescent="0.25"/>
    <row r="464" s="23" customFormat="1" ht="15.75" customHeight="1" x14ac:dyDescent="0.25"/>
    <row r="465" s="23" customFormat="1" ht="15.75" customHeight="1" x14ac:dyDescent="0.25"/>
    <row r="466" s="23" customFormat="1" ht="15.75" customHeight="1" x14ac:dyDescent="0.25"/>
    <row r="467" s="23" customFormat="1" ht="15.75" customHeight="1" x14ac:dyDescent="0.25"/>
    <row r="468" s="23" customFormat="1" ht="15.75" customHeight="1" x14ac:dyDescent="0.25"/>
    <row r="469" s="23" customFormat="1" ht="15.75" customHeight="1" x14ac:dyDescent="0.25"/>
    <row r="470" s="23" customFormat="1" ht="15.75" customHeight="1" x14ac:dyDescent="0.25"/>
    <row r="471" s="23" customFormat="1" ht="15.75" customHeight="1" x14ac:dyDescent="0.25"/>
    <row r="472" s="23" customFormat="1" ht="15.75" customHeight="1" x14ac:dyDescent="0.25"/>
    <row r="473" s="23" customFormat="1" ht="15.75" customHeight="1" x14ac:dyDescent="0.25"/>
    <row r="474" s="23" customFormat="1" ht="15.75" customHeight="1" x14ac:dyDescent="0.25"/>
    <row r="475" s="23" customFormat="1" ht="15.75" customHeight="1" x14ac:dyDescent="0.25"/>
    <row r="476" s="23" customFormat="1" ht="15.75" customHeight="1" x14ac:dyDescent="0.25"/>
    <row r="477" s="23" customFormat="1" ht="15.75" customHeight="1" x14ac:dyDescent="0.25"/>
    <row r="478" s="23" customFormat="1" ht="15.75" customHeight="1" x14ac:dyDescent="0.25"/>
    <row r="479" s="23" customFormat="1" ht="15.75" customHeight="1" x14ac:dyDescent="0.25"/>
    <row r="480" s="23" customFormat="1" ht="15.75" customHeight="1" x14ac:dyDescent="0.25"/>
    <row r="481" s="23" customFormat="1" ht="15.75" customHeight="1" x14ac:dyDescent="0.25"/>
    <row r="482" s="23" customFormat="1" ht="15.75" customHeight="1" x14ac:dyDescent="0.25"/>
    <row r="483" s="23" customFormat="1" ht="15.75" customHeight="1" x14ac:dyDescent="0.25"/>
    <row r="484" s="23" customFormat="1" ht="15.75" customHeight="1" x14ac:dyDescent="0.25"/>
    <row r="485" s="23" customFormat="1" ht="15.75" customHeight="1" x14ac:dyDescent="0.25"/>
    <row r="486" s="23" customFormat="1" ht="15.75" customHeight="1" x14ac:dyDescent="0.25"/>
    <row r="487" s="23" customFormat="1" ht="15.75" customHeight="1" x14ac:dyDescent="0.25"/>
    <row r="488" s="23" customFormat="1" ht="15.75" customHeight="1" x14ac:dyDescent="0.25"/>
    <row r="489" s="23" customFormat="1" ht="15.75" customHeight="1" x14ac:dyDescent="0.25"/>
    <row r="490" s="23" customFormat="1" ht="15.75" customHeight="1" x14ac:dyDescent="0.25"/>
    <row r="491" s="23" customFormat="1" ht="15.75" customHeight="1" x14ac:dyDescent="0.25"/>
    <row r="492" s="23" customFormat="1" ht="15.75" customHeight="1" x14ac:dyDescent="0.25"/>
    <row r="493" s="23" customFormat="1" ht="15.75" customHeight="1" x14ac:dyDescent="0.25"/>
    <row r="494" s="23" customFormat="1" ht="15.75" customHeight="1" x14ac:dyDescent="0.25"/>
    <row r="495" s="23" customFormat="1" ht="15.75" customHeight="1" x14ac:dyDescent="0.25"/>
    <row r="496" s="23" customFormat="1" ht="15.75" customHeight="1" x14ac:dyDescent="0.25"/>
    <row r="497" s="23" customFormat="1" ht="15.75" customHeight="1" x14ac:dyDescent="0.25"/>
    <row r="498" s="23" customFormat="1" ht="15.75" customHeight="1" x14ac:dyDescent="0.25"/>
    <row r="499" s="23" customFormat="1" ht="15.75" customHeight="1" x14ac:dyDescent="0.25"/>
    <row r="500" s="23" customFormat="1" ht="15.75" customHeight="1" x14ac:dyDescent="0.25"/>
    <row r="501" s="23" customFormat="1" ht="15.75" customHeight="1" x14ac:dyDescent="0.25"/>
    <row r="502" s="23" customFormat="1" ht="15.75" customHeight="1" x14ac:dyDescent="0.25"/>
    <row r="503" s="23" customFormat="1" ht="15.75" customHeight="1" x14ac:dyDescent="0.25"/>
    <row r="504" s="23" customFormat="1" ht="15.75" customHeight="1" x14ac:dyDescent="0.25"/>
    <row r="505" s="23" customFormat="1" ht="15.75" customHeight="1" x14ac:dyDescent="0.25"/>
    <row r="506" s="23" customFormat="1" ht="15.75" customHeight="1" x14ac:dyDescent="0.25"/>
    <row r="507" s="23" customFormat="1" ht="15.75" customHeight="1" x14ac:dyDescent="0.25"/>
    <row r="508" s="23" customFormat="1" ht="15.75" customHeight="1" x14ac:dyDescent="0.25"/>
    <row r="509" s="23" customFormat="1" ht="15.75" customHeight="1" x14ac:dyDescent="0.25"/>
    <row r="510" s="23" customFormat="1" ht="15.75" customHeight="1" x14ac:dyDescent="0.25"/>
    <row r="511" s="23" customFormat="1" ht="15.75" customHeight="1" x14ac:dyDescent="0.25"/>
    <row r="512" s="23" customFormat="1" ht="15.75" customHeight="1" x14ac:dyDescent="0.25"/>
    <row r="513" s="23" customFormat="1" ht="15.75" customHeight="1" x14ac:dyDescent="0.25"/>
    <row r="514" s="23" customFormat="1" ht="15.75" customHeight="1" x14ac:dyDescent="0.25"/>
    <row r="515" s="23" customFormat="1" ht="15.75" customHeight="1" x14ac:dyDescent="0.25"/>
    <row r="516" s="23" customFormat="1" ht="15.75" customHeight="1" x14ac:dyDescent="0.25"/>
    <row r="517" s="23" customFormat="1" ht="15.75" customHeight="1" x14ac:dyDescent="0.25"/>
    <row r="518" s="23" customFormat="1" ht="15.75" customHeight="1" x14ac:dyDescent="0.25"/>
    <row r="519" s="23" customFormat="1" ht="15.75" customHeight="1" x14ac:dyDescent="0.25"/>
    <row r="520" s="23" customFormat="1" ht="15.75" customHeight="1" x14ac:dyDescent="0.25"/>
    <row r="521" s="23" customFormat="1" ht="15.75" customHeight="1" x14ac:dyDescent="0.25"/>
    <row r="522" s="23" customFormat="1" ht="15.75" customHeight="1" x14ac:dyDescent="0.25"/>
    <row r="523" s="23" customFormat="1" ht="15.75" customHeight="1" x14ac:dyDescent="0.25"/>
    <row r="524" s="23" customFormat="1" ht="15.75" customHeight="1" x14ac:dyDescent="0.25"/>
    <row r="525" s="23" customFormat="1" ht="15.75" customHeight="1" x14ac:dyDescent="0.25"/>
    <row r="526" s="23" customFormat="1" ht="15.75" customHeight="1" x14ac:dyDescent="0.25"/>
    <row r="527" s="23" customFormat="1" ht="15.75" customHeight="1" x14ac:dyDescent="0.25"/>
    <row r="528" s="23" customFormat="1" ht="15.75" customHeight="1" x14ac:dyDescent="0.25"/>
    <row r="529" s="23" customFormat="1" ht="15.75" customHeight="1" x14ac:dyDescent="0.25"/>
    <row r="530" s="23" customFormat="1" ht="15.75" customHeight="1" x14ac:dyDescent="0.25"/>
    <row r="531" s="23" customFormat="1" ht="15.75" customHeight="1" x14ac:dyDescent="0.25"/>
    <row r="532" s="23" customFormat="1" ht="15.75" customHeight="1" x14ac:dyDescent="0.25"/>
    <row r="533" s="23" customFormat="1" ht="15.75" customHeight="1" x14ac:dyDescent="0.25"/>
    <row r="534" s="23" customFormat="1" ht="15.75" customHeight="1" x14ac:dyDescent="0.25"/>
    <row r="535" s="23" customFormat="1" ht="15.75" customHeight="1" x14ac:dyDescent="0.25"/>
    <row r="536" s="23" customFormat="1" ht="15.75" customHeight="1" x14ac:dyDescent="0.25"/>
    <row r="537" s="23" customFormat="1" ht="15.75" customHeight="1" x14ac:dyDescent="0.25"/>
    <row r="538" s="23" customFormat="1" ht="15.75" customHeight="1" x14ac:dyDescent="0.25"/>
    <row r="539" s="23" customFormat="1" ht="15.75" customHeight="1" x14ac:dyDescent="0.25"/>
    <row r="540" s="23" customFormat="1" ht="15.75" customHeight="1" x14ac:dyDescent="0.25"/>
    <row r="541" s="23" customFormat="1" ht="15.75" customHeight="1" x14ac:dyDescent="0.25"/>
    <row r="542" s="23" customFormat="1" ht="15.75" customHeight="1" x14ac:dyDescent="0.25"/>
    <row r="543" s="23" customFormat="1" ht="15.75" customHeight="1" x14ac:dyDescent="0.25"/>
    <row r="544" s="23" customFormat="1" ht="15.75" customHeight="1" x14ac:dyDescent="0.25"/>
    <row r="545" s="23" customFormat="1" ht="15.75" customHeight="1" x14ac:dyDescent="0.25"/>
    <row r="546" s="23" customFormat="1" ht="15.75" customHeight="1" x14ac:dyDescent="0.25"/>
    <row r="547" s="23" customFormat="1" ht="15.75" customHeight="1" x14ac:dyDescent="0.25"/>
    <row r="548" s="23" customFormat="1" ht="15.75" customHeight="1" x14ac:dyDescent="0.25"/>
    <row r="549" s="23" customFormat="1" ht="15.75" customHeight="1" x14ac:dyDescent="0.25"/>
    <row r="550" s="23" customFormat="1" ht="15.75" customHeight="1" x14ac:dyDescent="0.25"/>
    <row r="551" s="23" customFormat="1" ht="15.75" customHeight="1" x14ac:dyDescent="0.25"/>
    <row r="552" s="23" customFormat="1" ht="15.75" customHeight="1" x14ac:dyDescent="0.25"/>
    <row r="553" s="23" customFormat="1" ht="15.75" customHeight="1" x14ac:dyDescent="0.25"/>
    <row r="554" s="23" customFormat="1" ht="15.75" customHeight="1" x14ac:dyDescent="0.25"/>
    <row r="555" s="23" customFormat="1" ht="15.75" customHeight="1" x14ac:dyDescent="0.25"/>
    <row r="556" s="23" customFormat="1" ht="15.75" customHeight="1" x14ac:dyDescent="0.25"/>
    <row r="557" s="23" customFormat="1" ht="15.75" customHeight="1" x14ac:dyDescent="0.25"/>
    <row r="558" s="23" customFormat="1" ht="15.75" customHeight="1" x14ac:dyDescent="0.25"/>
    <row r="559" s="23" customFormat="1" ht="15.75" customHeight="1" x14ac:dyDescent="0.25"/>
    <row r="560" s="23" customFormat="1" ht="15.75" customHeight="1" x14ac:dyDescent="0.25"/>
    <row r="561" s="23" customFormat="1" ht="15.75" customHeight="1" x14ac:dyDescent="0.25"/>
    <row r="562" s="23" customFormat="1" ht="15.75" customHeight="1" x14ac:dyDescent="0.25"/>
    <row r="563" s="23" customFormat="1" ht="15.75" customHeight="1" x14ac:dyDescent="0.25"/>
    <row r="564" s="23" customFormat="1" ht="15.75" customHeight="1" x14ac:dyDescent="0.25"/>
    <row r="565" s="23" customFormat="1" ht="15.75" customHeight="1" x14ac:dyDescent="0.25"/>
    <row r="566" s="23" customFormat="1" ht="15.75" customHeight="1" x14ac:dyDescent="0.25"/>
    <row r="567" s="23" customFormat="1" ht="15.75" customHeight="1" x14ac:dyDescent="0.25"/>
    <row r="568" s="23" customFormat="1" ht="15.75" customHeight="1" x14ac:dyDescent="0.25"/>
    <row r="569" s="23" customFormat="1" ht="15.75" customHeight="1" x14ac:dyDescent="0.25"/>
    <row r="570" s="23" customFormat="1" ht="15.75" customHeight="1" x14ac:dyDescent="0.25"/>
    <row r="571" s="23" customFormat="1" ht="15.75" customHeight="1" x14ac:dyDescent="0.25"/>
    <row r="572" s="23" customFormat="1" ht="15.75" customHeight="1" x14ac:dyDescent="0.25"/>
    <row r="573" s="23" customFormat="1" ht="15.75" customHeight="1" x14ac:dyDescent="0.25"/>
    <row r="574" s="23" customFormat="1" ht="15.75" customHeight="1" x14ac:dyDescent="0.25"/>
    <row r="575" s="23" customFormat="1" ht="15.75" customHeight="1" x14ac:dyDescent="0.25"/>
    <row r="576" s="23" customFormat="1" ht="15.75" customHeight="1" x14ac:dyDescent="0.25"/>
    <row r="577" s="23" customFormat="1" ht="15.75" customHeight="1" x14ac:dyDescent="0.25"/>
    <row r="578" s="23" customFormat="1" ht="15.75" customHeight="1" x14ac:dyDescent="0.25"/>
    <row r="579" s="23" customFormat="1" ht="15.75" customHeight="1" x14ac:dyDescent="0.25"/>
    <row r="580" s="23" customFormat="1" ht="15.75" customHeight="1" x14ac:dyDescent="0.25"/>
    <row r="581" s="23" customFormat="1" ht="15.75" customHeight="1" x14ac:dyDescent="0.25"/>
    <row r="582" s="23" customFormat="1" ht="15.75" customHeight="1" x14ac:dyDescent="0.25"/>
    <row r="583" s="23" customFormat="1" ht="15.75" customHeight="1" x14ac:dyDescent="0.25"/>
    <row r="584" s="23" customFormat="1" ht="15.75" customHeight="1" x14ac:dyDescent="0.25"/>
    <row r="585" s="23" customFormat="1" ht="15.75" customHeight="1" x14ac:dyDescent="0.25"/>
    <row r="586" s="23" customFormat="1" ht="15.75" customHeight="1" x14ac:dyDescent="0.25"/>
    <row r="587" s="23" customFormat="1" ht="15.75" customHeight="1" x14ac:dyDescent="0.25"/>
    <row r="588" s="23" customFormat="1" ht="15.75" customHeight="1" x14ac:dyDescent="0.25"/>
    <row r="589" s="23" customFormat="1" ht="15.75" customHeight="1" x14ac:dyDescent="0.25"/>
    <row r="590" s="23" customFormat="1" ht="15.75" customHeight="1" x14ac:dyDescent="0.25"/>
    <row r="591" s="23" customFormat="1" ht="15.75" customHeight="1" x14ac:dyDescent="0.25"/>
    <row r="592" s="23" customFormat="1" ht="15.75" customHeight="1" x14ac:dyDescent="0.25"/>
    <row r="593" s="23" customFormat="1" ht="15.75" customHeight="1" x14ac:dyDescent="0.25"/>
    <row r="594" s="23" customFormat="1" ht="15.75" customHeight="1" x14ac:dyDescent="0.25"/>
    <row r="595" s="23" customFormat="1" ht="15.75" customHeight="1" x14ac:dyDescent="0.25"/>
    <row r="596" s="23" customFormat="1" ht="15.75" customHeight="1" x14ac:dyDescent="0.25"/>
    <row r="597" s="23" customFormat="1" ht="15.75" customHeight="1" x14ac:dyDescent="0.25"/>
    <row r="598" s="23" customFormat="1" ht="15.75" customHeight="1" x14ac:dyDescent="0.25"/>
    <row r="599" s="23" customFormat="1" ht="15.75" customHeight="1" x14ac:dyDescent="0.25"/>
    <row r="600" s="23" customFormat="1" ht="15.75" customHeight="1" x14ac:dyDescent="0.25"/>
    <row r="601" s="23" customFormat="1" ht="15.75" customHeight="1" x14ac:dyDescent="0.25"/>
    <row r="602" s="23" customFormat="1" ht="15.75" customHeight="1" x14ac:dyDescent="0.25"/>
    <row r="603" s="23" customFormat="1" ht="15.75" customHeight="1" x14ac:dyDescent="0.25"/>
    <row r="604" s="23" customFormat="1" ht="15.75" customHeight="1" x14ac:dyDescent="0.25"/>
    <row r="605" s="23" customFormat="1" ht="15.75" customHeight="1" x14ac:dyDescent="0.25"/>
    <row r="606" s="23" customFormat="1" ht="15.75" customHeight="1" x14ac:dyDescent="0.25"/>
    <row r="607" s="23" customFormat="1" ht="15.75" customHeight="1" x14ac:dyDescent="0.25"/>
    <row r="608" s="23" customFormat="1" ht="15.75" customHeight="1" x14ac:dyDescent="0.25"/>
    <row r="609" s="23" customFormat="1" ht="15.75" customHeight="1" x14ac:dyDescent="0.25"/>
    <row r="610" s="23" customFormat="1" ht="15.75" customHeight="1" x14ac:dyDescent="0.25"/>
    <row r="611" s="23" customFormat="1" ht="15.75" customHeight="1" x14ac:dyDescent="0.25"/>
    <row r="612" s="23" customFormat="1" ht="15.75" customHeight="1" x14ac:dyDescent="0.25"/>
    <row r="613" s="23" customFormat="1" ht="15.75" customHeight="1" x14ac:dyDescent="0.25"/>
    <row r="614" s="23" customFormat="1" ht="15.75" customHeight="1" x14ac:dyDescent="0.25"/>
    <row r="615" s="23" customFormat="1" ht="15.75" customHeight="1" x14ac:dyDescent="0.25"/>
    <row r="616" s="23" customFormat="1" ht="15.75" customHeight="1" x14ac:dyDescent="0.25"/>
    <row r="617" s="23" customFormat="1" ht="15.75" customHeight="1" x14ac:dyDescent="0.25"/>
    <row r="618" s="23" customFormat="1" ht="15.75" customHeight="1" x14ac:dyDescent="0.25"/>
    <row r="619" s="23" customFormat="1" ht="15.75" customHeight="1" x14ac:dyDescent="0.25"/>
    <row r="620" s="23" customFormat="1" ht="15.75" customHeight="1" x14ac:dyDescent="0.25"/>
    <row r="621" s="23" customFormat="1" ht="15.75" customHeight="1" x14ac:dyDescent="0.25"/>
    <row r="622" s="23" customFormat="1" ht="15.75" customHeight="1" x14ac:dyDescent="0.25"/>
    <row r="623" s="23" customFormat="1" ht="15.75" customHeight="1" x14ac:dyDescent="0.25"/>
    <row r="624" s="23" customFormat="1" ht="15.75" customHeight="1" x14ac:dyDescent="0.25"/>
    <row r="625" s="23" customFormat="1" ht="15.75" customHeight="1" x14ac:dyDescent="0.25"/>
    <row r="626" s="23" customFormat="1" ht="15.75" customHeight="1" x14ac:dyDescent="0.25"/>
    <row r="627" s="23" customFormat="1" ht="15.75" customHeight="1" x14ac:dyDescent="0.25"/>
    <row r="628" s="23" customFormat="1" ht="15.75" customHeight="1" x14ac:dyDescent="0.25"/>
    <row r="629" s="23" customFormat="1" ht="15.75" customHeight="1" x14ac:dyDescent="0.25"/>
    <row r="630" s="23" customFormat="1" ht="15.75" customHeight="1" x14ac:dyDescent="0.25"/>
    <row r="631" s="23" customFormat="1" ht="15.75" customHeight="1" x14ac:dyDescent="0.25"/>
    <row r="632" s="23" customFormat="1" ht="15.75" customHeight="1" x14ac:dyDescent="0.25"/>
    <row r="633" s="23" customFormat="1" ht="15.75" customHeight="1" x14ac:dyDescent="0.25"/>
    <row r="634" s="23" customFormat="1" ht="15.75" customHeight="1" x14ac:dyDescent="0.25"/>
    <row r="635" s="23" customFormat="1" ht="15.75" customHeight="1" x14ac:dyDescent="0.25"/>
    <row r="636" s="23" customFormat="1" ht="15.75" customHeight="1" x14ac:dyDescent="0.25"/>
    <row r="637" s="23" customFormat="1" ht="15.75" customHeight="1" x14ac:dyDescent="0.25"/>
    <row r="638" s="23" customFormat="1" ht="15.75" customHeight="1" x14ac:dyDescent="0.25"/>
    <row r="639" s="23" customFormat="1" ht="15.75" customHeight="1" x14ac:dyDescent="0.25"/>
    <row r="640" s="23" customFormat="1" ht="15.75" customHeight="1" x14ac:dyDescent="0.25"/>
    <row r="641" s="23" customFormat="1" ht="15.75" customHeight="1" x14ac:dyDescent="0.25"/>
    <row r="642" s="23" customFormat="1" ht="15.75" customHeight="1" x14ac:dyDescent="0.25"/>
    <row r="643" s="23" customFormat="1" ht="15.75" customHeight="1" x14ac:dyDescent="0.25"/>
    <row r="644" s="23" customFormat="1" ht="15.75" customHeight="1" x14ac:dyDescent="0.25"/>
    <row r="645" s="23" customFormat="1" ht="15.75" customHeight="1" x14ac:dyDescent="0.25"/>
    <row r="646" s="23" customFormat="1" ht="15.75" customHeight="1" x14ac:dyDescent="0.25"/>
    <row r="647" s="23" customFormat="1" ht="15.75" customHeight="1" x14ac:dyDescent="0.25"/>
    <row r="648" s="23" customFormat="1" ht="15.75" customHeight="1" x14ac:dyDescent="0.25"/>
    <row r="649" s="23" customFormat="1" ht="15.75" customHeight="1" x14ac:dyDescent="0.25"/>
    <row r="650" s="23" customFormat="1" ht="15.75" customHeight="1" x14ac:dyDescent="0.25"/>
    <row r="651" s="23" customFormat="1" ht="15.75" customHeight="1" x14ac:dyDescent="0.25"/>
    <row r="652" s="23" customFormat="1" ht="15.75" customHeight="1" x14ac:dyDescent="0.25"/>
    <row r="653" s="23" customFormat="1" ht="15.75" customHeight="1" x14ac:dyDescent="0.25"/>
    <row r="654" s="23" customFormat="1" ht="15.75" customHeight="1" x14ac:dyDescent="0.25"/>
    <row r="655" s="23" customFormat="1" ht="15.75" customHeight="1" x14ac:dyDescent="0.25"/>
    <row r="656" s="23" customFormat="1" ht="15.75" customHeight="1" x14ac:dyDescent="0.25"/>
    <row r="657" s="23" customFormat="1" ht="15.75" customHeight="1" x14ac:dyDescent="0.25"/>
    <row r="658" s="23" customFormat="1" ht="15.75" customHeight="1" x14ac:dyDescent="0.25"/>
    <row r="659" s="23" customFormat="1" ht="15.75" customHeight="1" x14ac:dyDescent="0.25"/>
    <row r="660" s="23" customFormat="1" ht="15.75" customHeight="1" x14ac:dyDescent="0.25"/>
    <row r="661" s="23" customFormat="1" ht="15.75" customHeight="1" x14ac:dyDescent="0.25"/>
    <row r="662" s="23" customFormat="1" ht="15.75" customHeight="1" x14ac:dyDescent="0.25"/>
    <row r="663" s="23" customFormat="1" ht="15.75" customHeight="1" x14ac:dyDescent="0.25"/>
    <row r="664" s="23" customFormat="1" ht="15.75" customHeight="1" x14ac:dyDescent="0.25"/>
    <row r="665" s="23" customFormat="1" ht="15.75" customHeight="1" x14ac:dyDescent="0.25"/>
    <row r="666" s="23" customFormat="1" ht="15.75" customHeight="1" x14ac:dyDescent="0.25"/>
    <row r="667" s="23" customFormat="1" ht="15.75" customHeight="1" x14ac:dyDescent="0.25"/>
    <row r="668" s="23" customFormat="1" ht="15.75" customHeight="1" x14ac:dyDescent="0.25"/>
    <row r="669" s="23" customFormat="1" ht="15.75" customHeight="1" x14ac:dyDescent="0.25"/>
    <row r="670" s="23" customFormat="1" ht="15.75" customHeight="1" x14ac:dyDescent="0.25"/>
    <row r="671" s="23" customFormat="1" ht="15.75" customHeight="1" x14ac:dyDescent="0.25"/>
    <row r="672" s="23" customFormat="1" ht="15.75" customHeight="1" x14ac:dyDescent="0.25"/>
    <row r="673" s="23" customFormat="1" ht="15.75" customHeight="1" x14ac:dyDescent="0.25"/>
    <row r="674" s="23" customFormat="1" ht="15.75" customHeight="1" x14ac:dyDescent="0.25"/>
    <row r="675" s="23" customFormat="1" ht="15.75" customHeight="1" x14ac:dyDescent="0.25"/>
    <row r="676" s="23" customFormat="1" ht="15.75" customHeight="1" x14ac:dyDescent="0.25"/>
    <row r="677" s="23" customFormat="1" ht="15.75" customHeight="1" x14ac:dyDescent="0.25"/>
    <row r="678" s="23" customFormat="1" ht="15.75" customHeight="1" x14ac:dyDescent="0.25"/>
    <row r="679" s="23" customFormat="1" ht="15.75" customHeight="1" x14ac:dyDescent="0.25"/>
    <row r="680" s="23" customFormat="1" ht="15.75" customHeight="1" x14ac:dyDescent="0.25"/>
    <row r="681" s="23" customFormat="1" ht="15.75" customHeight="1" x14ac:dyDescent="0.25"/>
    <row r="682" s="23" customFormat="1" ht="15.75" customHeight="1" x14ac:dyDescent="0.25"/>
    <row r="683" s="23" customFormat="1" ht="15.75" customHeight="1" x14ac:dyDescent="0.25"/>
    <row r="684" s="23" customFormat="1" ht="15.75" customHeight="1" x14ac:dyDescent="0.25"/>
    <row r="685" s="23" customFormat="1" ht="15.75" customHeight="1" x14ac:dyDescent="0.25"/>
    <row r="686" s="23" customFormat="1" ht="15.75" customHeight="1" x14ac:dyDescent="0.25"/>
    <row r="687" s="23" customFormat="1" ht="15.75" customHeight="1" x14ac:dyDescent="0.25"/>
    <row r="688" s="23" customFormat="1" ht="15.75" customHeight="1" x14ac:dyDescent="0.25"/>
    <row r="689" s="23" customFormat="1" ht="15.75" customHeight="1" x14ac:dyDescent="0.25"/>
    <row r="690" s="23" customFormat="1" ht="15.75" customHeight="1" x14ac:dyDescent="0.25"/>
    <row r="691" s="23" customFormat="1" ht="15.75" customHeight="1" x14ac:dyDescent="0.25"/>
    <row r="692" s="23" customFormat="1" ht="15.75" customHeight="1" x14ac:dyDescent="0.25"/>
    <row r="693" s="23" customFormat="1" ht="15.75" customHeight="1" x14ac:dyDescent="0.25"/>
    <row r="694" s="23" customFormat="1" ht="15.75" customHeight="1" x14ac:dyDescent="0.25"/>
    <row r="695" s="23" customFormat="1" ht="15.75" customHeight="1" x14ac:dyDescent="0.25"/>
    <row r="696" s="23" customFormat="1" ht="15.75" customHeight="1" x14ac:dyDescent="0.25"/>
    <row r="697" s="23" customFormat="1" ht="15.75" customHeight="1" x14ac:dyDescent="0.25"/>
    <row r="698" s="23" customFormat="1" ht="15.75" customHeight="1" x14ac:dyDescent="0.25"/>
    <row r="699" s="23" customFormat="1" ht="15.75" customHeight="1" x14ac:dyDescent="0.25"/>
    <row r="700" s="23" customFormat="1" ht="15.75" customHeight="1" x14ac:dyDescent="0.25"/>
    <row r="701" s="23" customFormat="1" ht="15.75" customHeight="1" x14ac:dyDescent="0.25"/>
    <row r="702" s="23" customFormat="1" ht="15.75" customHeight="1" x14ac:dyDescent="0.25"/>
    <row r="703" s="23" customFormat="1" ht="15.75" customHeight="1" x14ac:dyDescent="0.25"/>
    <row r="704" s="23" customFormat="1" ht="15.75" customHeight="1" x14ac:dyDescent="0.25"/>
    <row r="705" s="23" customFormat="1" ht="15.75" customHeight="1" x14ac:dyDescent="0.25"/>
    <row r="706" s="23" customFormat="1" ht="15.75" customHeight="1" x14ac:dyDescent="0.25"/>
    <row r="707" s="23" customFormat="1" ht="15.75" customHeight="1" x14ac:dyDescent="0.25"/>
    <row r="708" s="23" customFormat="1" ht="15.75" customHeight="1" x14ac:dyDescent="0.25"/>
    <row r="709" s="23" customFormat="1" ht="15.75" customHeight="1" x14ac:dyDescent="0.25"/>
    <row r="710" s="23" customFormat="1" ht="15.75" customHeight="1" x14ac:dyDescent="0.25"/>
    <row r="711" s="23" customFormat="1" ht="15.75" customHeight="1" x14ac:dyDescent="0.25"/>
    <row r="712" s="23" customFormat="1" ht="15.75" customHeight="1" x14ac:dyDescent="0.25"/>
    <row r="713" s="23" customFormat="1" ht="15.75" customHeight="1" x14ac:dyDescent="0.25"/>
    <row r="714" s="23" customFormat="1" ht="15.75" customHeight="1" x14ac:dyDescent="0.25"/>
    <row r="715" s="23" customFormat="1" ht="15.75" customHeight="1" x14ac:dyDescent="0.25"/>
    <row r="716" s="23" customFormat="1" ht="15.75" customHeight="1" x14ac:dyDescent="0.25"/>
    <row r="717" s="23" customFormat="1" ht="15.75" customHeight="1" x14ac:dyDescent="0.25"/>
    <row r="718" s="23" customFormat="1" ht="15.75" customHeight="1" x14ac:dyDescent="0.25"/>
    <row r="719" s="23" customFormat="1" ht="15.75" customHeight="1" x14ac:dyDescent="0.25"/>
    <row r="720" s="23" customFormat="1" ht="15.75" customHeight="1" x14ac:dyDescent="0.25"/>
    <row r="721" s="23" customFormat="1" ht="15.75" customHeight="1" x14ac:dyDescent="0.25"/>
    <row r="722" s="23" customFormat="1" ht="15.75" customHeight="1" x14ac:dyDescent="0.25"/>
    <row r="723" s="23" customFormat="1" ht="15.75" customHeight="1" x14ac:dyDescent="0.25"/>
    <row r="724" s="23" customFormat="1" ht="15.75" customHeight="1" x14ac:dyDescent="0.25"/>
    <row r="725" s="23" customFormat="1" ht="15.75" customHeight="1" x14ac:dyDescent="0.25"/>
    <row r="726" s="23" customFormat="1" ht="15.75" customHeight="1" x14ac:dyDescent="0.25"/>
    <row r="727" s="23" customFormat="1" ht="15.75" customHeight="1" x14ac:dyDescent="0.25"/>
    <row r="728" s="23" customFormat="1" ht="15.75" customHeight="1" x14ac:dyDescent="0.25"/>
    <row r="729" s="23" customFormat="1" ht="15.75" customHeight="1" x14ac:dyDescent="0.25"/>
    <row r="730" s="23" customFormat="1" ht="15.75" customHeight="1" x14ac:dyDescent="0.25"/>
    <row r="731" s="23" customFormat="1" ht="15.75" customHeight="1" x14ac:dyDescent="0.25"/>
    <row r="732" s="23" customFormat="1" ht="15.75" customHeight="1" x14ac:dyDescent="0.25"/>
    <row r="733" s="23" customFormat="1" ht="15.75" customHeight="1" x14ac:dyDescent="0.25"/>
    <row r="734" s="23" customFormat="1" ht="15.75" customHeight="1" x14ac:dyDescent="0.25"/>
    <row r="735" s="23" customFormat="1" ht="15.75" customHeight="1" x14ac:dyDescent="0.25"/>
    <row r="736" s="23" customFormat="1" ht="15.75" customHeight="1" x14ac:dyDescent="0.25"/>
    <row r="737" s="23" customFormat="1" ht="15.75" customHeight="1" x14ac:dyDescent="0.25"/>
    <row r="738" s="23" customFormat="1" ht="15.75" customHeight="1" x14ac:dyDescent="0.25"/>
    <row r="739" s="23" customFormat="1" ht="15.75" customHeight="1" x14ac:dyDescent="0.25"/>
    <row r="740" s="23" customFormat="1" ht="15.75" customHeight="1" x14ac:dyDescent="0.25"/>
    <row r="741" s="23" customFormat="1" ht="15.75" customHeight="1" x14ac:dyDescent="0.25"/>
    <row r="742" s="23" customFormat="1" ht="15.75" customHeight="1" x14ac:dyDescent="0.25"/>
    <row r="743" s="23" customFormat="1" ht="15.75" customHeight="1" x14ac:dyDescent="0.25"/>
    <row r="744" s="23" customFormat="1" ht="15.75" customHeight="1" x14ac:dyDescent="0.25"/>
    <row r="745" s="23" customFormat="1" ht="15.75" customHeight="1" x14ac:dyDescent="0.25"/>
    <row r="746" s="23" customFormat="1" ht="15.75" customHeight="1" x14ac:dyDescent="0.25"/>
    <row r="747" s="23" customFormat="1" ht="15.75" customHeight="1" x14ac:dyDescent="0.25"/>
    <row r="748" s="23" customFormat="1" ht="15.75" customHeight="1" x14ac:dyDescent="0.25"/>
    <row r="749" s="23" customFormat="1" ht="15.75" customHeight="1" x14ac:dyDescent="0.25"/>
    <row r="750" s="23" customFormat="1" ht="15.75" customHeight="1" x14ac:dyDescent="0.25"/>
    <row r="751" s="23" customFormat="1" ht="15.75" customHeight="1" x14ac:dyDescent="0.25"/>
    <row r="752" s="23" customFormat="1" ht="15.75" customHeight="1" x14ac:dyDescent="0.25"/>
    <row r="753" s="23" customFormat="1" ht="15.75" customHeight="1" x14ac:dyDescent="0.25"/>
    <row r="754" s="23" customFormat="1" ht="15.75" customHeight="1" x14ac:dyDescent="0.25"/>
    <row r="755" s="23" customFormat="1" ht="15.75" customHeight="1" x14ac:dyDescent="0.25"/>
    <row r="756" s="23" customFormat="1" ht="15.75" customHeight="1" x14ac:dyDescent="0.25"/>
    <row r="757" s="23" customFormat="1" ht="15.75" customHeight="1" x14ac:dyDescent="0.25"/>
    <row r="758" s="23" customFormat="1" ht="15.75" customHeight="1" x14ac:dyDescent="0.25"/>
    <row r="759" s="23" customFormat="1" ht="15.75" customHeight="1" x14ac:dyDescent="0.25"/>
    <row r="760" s="23" customFormat="1" ht="15.75" customHeight="1" x14ac:dyDescent="0.25"/>
    <row r="761" s="23" customFormat="1" ht="15.75" customHeight="1" x14ac:dyDescent="0.25"/>
    <row r="762" s="23" customFormat="1" ht="15.75" customHeight="1" x14ac:dyDescent="0.25"/>
    <row r="763" s="23" customFormat="1" ht="15.75" customHeight="1" x14ac:dyDescent="0.25"/>
    <row r="764" s="23" customFormat="1" ht="15.75" customHeight="1" x14ac:dyDescent="0.25"/>
    <row r="765" s="23" customFormat="1" ht="15.75" customHeight="1" x14ac:dyDescent="0.25"/>
    <row r="766" s="23" customFormat="1" ht="15.75" customHeight="1" x14ac:dyDescent="0.25"/>
    <row r="767" s="23" customFormat="1" ht="15.75" customHeight="1" x14ac:dyDescent="0.25"/>
    <row r="768" s="23" customFormat="1" ht="15.75" customHeight="1" x14ac:dyDescent="0.25"/>
    <row r="769" s="23" customFormat="1" ht="15.75" customHeight="1" x14ac:dyDescent="0.25"/>
    <row r="770" s="23" customFormat="1" ht="15.75" customHeight="1" x14ac:dyDescent="0.25"/>
    <row r="771" s="23" customFormat="1" ht="15.75" customHeight="1" x14ac:dyDescent="0.25"/>
    <row r="772" s="23" customFormat="1" ht="15.75" customHeight="1" x14ac:dyDescent="0.25"/>
    <row r="773" s="23" customFormat="1" ht="15.75" customHeight="1" x14ac:dyDescent="0.25"/>
    <row r="774" s="23" customFormat="1" ht="15.75" customHeight="1" x14ac:dyDescent="0.25"/>
    <row r="775" s="23" customFormat="1" ht="15.75" customHeight="1" x14ac:dyDescent="0.25"/>
    <row r="776" s="23" customFormat="1" ht="15.75" customHeight="1" x14ac:dyDescent="0.25"/>
    <row r="777" s="23" customFormat="1" ht="15.75" customHeight="1" x14ac:dyDescent="0.25"/>
    <row r="778" s="23" customFormat="1" ht="15.75" customHeight="1" x14ac:dyDescent="0.25"/>
    <row r="779" s="23" customFormat="1" ht="15.75" customHeight="1" x14ac:dyDescent="0.25"/>
    <row r="780" s="23" customFormat="1" ht="15.75" customHeight="1" x14ac:dyDescent="0.25"/>
    <row r="781" s="23" customFormat="1" ht="15.75" customHeight="1" x14ac:dyDescent="0.25"/>
    <row r="782" s="23" customFormat="1" ht="15.75" customHeight="1" x14ac:dyDescent="0.25"/>
    <row r="783" s="23" customFormat="1" ht="15.75" customHeight="1" x14ac:dyDescent="0.25"/>
    <row r="784" s="23" customFormat="1" ht="15.75" customHeight="1" x14ac:dyDescent="0.25"/>
    <row r="785" s="23" customFormat="1" ht="15.75" customHeight="1" x14ac:dyDescent="0.25"/>
    <row r="786" s="23" customFormat="1" ht="15.75" customHeight="1" x14ac:dyDescent="0.25"/>
    <row r="787" s="23" customFormat="1" ht="15.75" customHeight="1" x14ac:dyDescent="0.25"/>
    <row r="788" s="23" customFormat="1" ht="15.75" customHeight="1" x14ac:dyDescent="0.25"/>
    <row r="789" s="23" customFormat="1" ht="15.75" customHeight="1" x14ac:dyDescent="0.25"/>
    <row r="790" s="23" customFormat="1" ht="15.75" customHeight="1" x14ac:dyDescent="0.25"/>
    <row r="791" s="23" customFormat="1" ht="15.75" customHeight="1" x14ac:dyDescent="0.25"/>
    <row r="792" s="23" customFormat="1" ht="15.75" customHeight="1" x14ac:dyDescent="0.25"/>
    <row r="793" s="23" customFormat="1" ht="15.75" customHeight="1" x14ac:dyDescent="0.25"/>
    <row r="794" s="23" customFormat="1" ht="15.75" customHeight="1" x14ac:dyDescent="0.25"/>
    <row r="795" s="23" customFormat="1" ht="15.75" customHeight="1" x14ac:dyDescent="0.25"/>
    <row r="796" s="23" customFormat="1" ht="15.75" customHeight="1" x14ac:dyDescent="0.25"/>
    <row r="797" s="23" customFormat="1" ht="15.75" customHeight="1" x14ac:dyDescent="0.25"/>
    <row r="798" s="23" customFormat="1" ht="15.75" customHeight="1" x14ac:dyDescent="0.25"/>
    <row r="799" s="23" customFormat="1" ht="15.75" customHeight="1" x14ac:dyDescent="0.25"/>
    <row r="800" s="23" customFormat="1" ht="15.75" customHeight="1" x14ac:dyDescent="0.25"/>
    <row r="801" s="23" customFormat="1" ht="15.75" customHeight="1" x14ac:dyDescent="0.25"/>
    <row r="802" s="23" customFormat="1" ht="15.75" customHeight="1" x14ac:dyDescent="0.25"/>
    <row r="803" s="23" customFormat="1" ht="15.75" customHeight="1" x14ac:dyDescent="0.25"/>
    <row r="804" s="23" customFormat="1" ht="15.75" customHeight="1" x14ac:dyDescent="0.25"/>
    <row r="805" s="23" customFormat="1" ht="15.75" customHeight="1" x14ac:dyDescent="0.25"/>
    <row r="806" s="23" customFormat="1" ht="15.75" customHeight="1" x14ac:dyDescent="0.25"/>
    <row r="807" s="23" customFormat="1" ht="15.75" customHeight="1" x14ac:dyDescent="0.25"/>
    <row r="808" s="23" customFormat="1" ht="15.75" customHeight="1" x14ac:dyDescent="0.25"/>
    <row r="809" s="23" customFormat="1" ht="15.75" customHeight="1" x14ac:dyDescent="0.25"/>
    <row r="810" s="23" customFormat="1" ht="15.75" customHeight="1" x14ac:dyDescent="0.25"/>
    <row r="811" s="23" customFormat="1" ht="15.75" customHeight="1" x14ac:dyDescent="0.25"/>
    <row r="812" s="23" customFormat="1" ht="15.75" customHeight="1" x14ac:dyDescent="0.25"/>
    <row r="813" s="23" customFormat="1" ht="15.75" customHeight="1" x14ac:dyDescent="0.25"/>
    <row r="814" s="23" customFormat="1" ht="15.75" customHeight="1" x14ac:dyDescent="0.25"/>
    <row r="815" s="23" customFormat="1" ht="15.75" customHeight="1" x14ac:dyDescent="0.25"/>
    <row r="816" s="23" customFormat="1" ht="15.75" customHeight="1" x14ac:dyDescent="0.25"/>
    <row r="817" s="23" customFormat="1" ht="15.75" customHeight="1" x14ac:dyDescent="0.25"/>
    <row r="818" s="23" customFormat="1" ht="15.75" customHeight="1" x14ac:dyDescent="0.25"/>
    <row r="819" s="23" customFormat="1" ht="15.75" customHeight="1" x14ac:dyDescent="0.25"/>
    <row r="820" s="23" customFormat="1" ht="15.75" customHeight="1" x14ac:dyDescent="0.25"/>
    <row r="821" s="23" customFormat="1" ht="15.75" customHeight="1" x14ac:dyDescent="0.25"/>
    <row r="822" s="23" customFormat="1" ht="15.75" customHeight="1" x14ac:dyDescent="0.25"/>
    <row r="823" s="23" customFormat="1" ht="15.75" customHeight="1" x14ac:dyDescent="0.25"/>
    <row r="824" s="23" customFormat="1" ht="15.75" customHeight="1" x14ac:dyDescent="0.25"/>
    <row r="825" s="23" customFormat="1" ht="15.75" customHeight="1" x14ac:dyDescent="0.25"/>
    <row r="826" s="23" customFormat="1" ht="15.75" customHeight="1" x14ac:dyDescent="0.25"/>
    <row r="827" s="23" customFormat="1" ht="15.75" customHeight="1" x14ac:dyDescent="0.25"/>
    <row r="828" s="23" customFormat="1" ht="15.75" customHeight="1" x14ac:dyDescent="0.25"/>
    <row r="829" s="23" customFormat="1" ht="15.75" customHeight="1" x14ac:dyDescent="0.25"/>
    <row r="830" s="23" customFormat="1" ht="15.75" customHeight="1" x14ac:dyDescent="0.25"/>
    <row r="831" s="23" customFormat="1" ht="15.75" customHeight="1" x14ac:dyDescent="0.25"/>
    <row r="832" s="23" customFormat="1" ht="15.75" customHeight="1" x14ac:dyDescent="0.25"/>
    <row r="833" s="23" customFormat="1" ht="15.75" customHeight="1" x14ac:dyDescent="0.25"/>
    <row r="834" s="23" customFormat="1" ht="15.75" customHeight="1" x14ac:dyDescent="0.25"/>
    <row r="835" s="23" customFormat="1" ht="15.75" customHeight="1" x14ac:dyDescent="0.25"/>
    <row r="836" s="23" customFormat="1" ht="15.75" customHeight="1" x14ac:dyDescent="0.25"/>
    <row r="837" s="23" customFormat="1" ht="15.75" customHeight="1" x14ac:dyDescent="0.25"/>
    <row r="838" s="23" customFormat="1" ht="15.75" customHeight="1" x14ac:dyDescent="0.25"/>
    <row r="839" s="23" customFormat="1" ht="15.75" customHeight="1" x14ac:dyDescent="0.25"/>
    <row r="840" s="23" customFormat="1" ht="15.75" customHeight="1" x14ac:dyDescent="0.25"/>
    <row r="841" s="23" customFormat="1" ht="15.75" customHeight="1" x14ac:dyDescent="0.25"/>
    <row r="842" s="23" customFormat="1" ht="15.75" customHeight="1" x14ac:dyDescent="0.25"/>
    <row r="843" s="23" customFormat="1" ht="15.75" customHeight="1" x14ac:dyDescent="0.25"/>
    <row r="844" s="23" customFormat="1" ht="15.75" customHeight="1" x14ac:dyDescent="0.25"/>
    <row r="845" s="23" customFormat="1" ht="15.75" customHeight="1" x14ac:dyDescent="0.25"/>
    <row r="846" s="23" customFormat="1" ht="15.75" customHeight="1" x14ac:dyDescent="0.25"/>
    <row r="847" s="23" customFormat="1" ht="15.75" customHeight="1" x14ac:dyDescent="0.25"/>
    <row r="848" s="23" customFormat="1" ht="15.75" customHeight="1" x14ac:dyDescent="0.25"/>
    <row r="849" s="23" customFormat="1" ht="15.75" customHeight="1" x14ac:dyDescent="0.25"/>
    <row r="850" s="23" customFormat="1" ht="15.75" customHeight="1" x14ac:dyDescent="0.25"/>
    <row r="851" s="23" customFormat="1" ht="15.75" customHeight="1" x14ac:dyDescent="0.25"/>
    <row r="852" s="23" customFormat="1" ht="15.75" customHeight="1" x14ac:dyDescent="0.25"/>
    <row r="853" s="23" customFormat="1" ht="15.75" customHeight="1" x14ac:dyDescent="0.25"/>
    <row r="854" s="23" customFormat="1" ht="15.75" customHeight="1" x14ac:dyDescent="0.25"/>
    <row r="855" s="23" customFormat="1" ht="15.75" customHeight="1" x14ac:dyDescent="0.25"/>
    <row r="856" s="23" customFormat="1" ht="15.75" customHeight="1" x14ac:dyDescent="0.25"/>
    <row r="857" s="23" customFormat="1" ht="15.75" customHeight="1" x14ac:dyDescent="0.25"/>
    <row r="858" s="23" customFormat="1" ht="15.75" customHeight="1" x14ac:dyDescent="0.25"/>
    <row r="859" s="23" customFormat="1" ht="15.75" customHeight="1" x14ac:dyDescent="0.25"/>
    <row r="860" s="23" customFormat="1" ht="15.75" customHeight="1" x14ac:dyDescent="0.25"/>
    <row r="861" s="23" customFormat="1" ht="15.75" customHeight="1" x14ac:dyDescent="0.25"/>
    <row r="862" s="23" customFormat="1" ht="15.75" customHeight="1" x14ac:dyDescent="0.25"/>
    <row r="863" s="23" customFormat="1" ht="15.75" customHeight="1" x14ac:dyDescent="0.25"/>
    <row r="864" s="23" customFormat="1" ht="15.75" customHeight="1" x14ac:dyDescent="0.25"/>
    <row r="865" s="23" customFormat="1" ht="15.75" customHeight="1" x14ac:dyDescent="0.25"/>
    <row r="866" s="23" customFormat="1" ht="15.75" customHeight="1" x14ac:dyDescent="0.25"/>
    <row r="867" s="23" customFormat="1" ht="15.75" customHeight="1" x14ac:dyDescent="0.25"/>
    <row r="868" s="23" customFormat="1" ht="15.75" customHeight="1" x14ac:dyDescent="0.25"/>
    <row r="869" s="23" customFormat="1" ht="15.75" customHeight="1" x14ac:dyDescent="0.25"/>
    <row r="870" s="23" customFormat="1" ht="15.75" customHeight="1" x14ac:dyDescent="0.25"/>
    <row r="871" s="23" customFormat="1" ht="15.75" customHeight="1" x14ac:dyDescent="0.25"/>
    <row r="872" s="23" customFormat="1" ht="15.75" customHeight="1" x14ac:dyDescent="0.25"/>
    <row r="873" s="23" customFormat="1" ht="15.75" customHeight="1" x14ac:dyDescent="0.25"/>
    <row r="874" s="23" customFormat="1" ht="15.75" customHeight="1" x14ac:dyDescent="0.25"/>
    <row r="875" s="23" customFormat="1" ht="15.75" customHeight="1" x14ac:dyDescent="0.25"/>
    <row r="876" s="23" customFormat="1" ht="15.75" customHeight="1" x14ac:dyDescent="0.25"/>
    <row r="877" s="23" customFormat="1" ht="15.75" customHeight="1" x14ac:dyDescent="0.25"/>
    <row r="878" s="23" customFormat="1" ht="15.75" customHeight="1" x14ac:dyDescent="0.25"/>
    <row r="879" s="23" customFormat="1" ht="15.75" customHeight="1" x14ac:dyDescent="0.25"/>
    <row r="880" s="23" customFormat="1" ht="15.75" customHeight="1" x14ac:dyDescent="0.25"/>
    <row r="881" s="23" customFormat="1" ht="15.75" customHeight="1" x14ac:dyDescent="0.25"/>
    <row r="882" s="23" customFormat="1" ht="15.75" customHeight="1" x14ac:dyDescent="0.25"/>
    <row r="883" s="23" customFormat="1" ht="15.75" customHeight="1" x14ac:dyDescent="0.25"/>
    <row r="884" s="23" customFormat="1" ht="15.75" customHeight="1" x14ac:dyDescent="0.25"/>
    <row r="885" s="23" customFormat="1" ht="15.75" customHeight="1" x14ac:dyDescent="0.25"/>
    <row r="886" s="23" customFormat="1" ht="15.75" customHeight="1" x14ac:dyDescent="0.25"/>
    <row r="887" s="23" customFormat="1" ht="15.75" customHeight="1" x14ac:dyDescent="0.25"/>
    <row r="888" s="23" customFormat="1" ht="15.75" customHeight="1" x14ac:dyDescent="0.25"/>
    <row r="889" s="23" customFormat="1" ht="15.75" customHeight="1" x14ac:dyDescent="0.25"/>
    <row r="890" s="23" customFormat="1" ht="15.75" customHeight="1" x14ac:dyDescent="0.25"/>
    <row r="891" s="23" customFormat="1" ht="15.75" customHeight="1" x14ac:dyDescent="0.25"/>
    <row r="892" s="23" customFormat="1" ht="15.75" customHeight="1" x14ac:dyDescent="0.25"/>
    <row r="893" s="23" customFormat="1" ht="15.75" customHeight="1" x14ac:dyDescent="0.25"/>
    <row r="894" s="23" customFormat="1" ht="15.75" customHeight="1" x14ac:dyDescent="0.25"/>
    <row r="895" s="23" customFormat="1" ht="15.75" customHeight="1" x14ac:dyDescent="0.25"/>
    <row r="896" s="23" customFormat="1" ht="15.75" customHeight="1" x14ac:dyDescent="0.25"/>
    <row r="897" s="23" customFormat="1" ht="15.75" customHeight="1" x14ac:dyDescent="0.25"/>
    <row r="898" s="23" customFormat="1" ht="15.75" customHeight="1" x14ac:dyDescent="0.25"/>
    <row r="899" s="23" customFormat="1" ht="15.75" customHeight="1" x14ac:dyDescent="0.25"/>
    <row r="900" s="23" customFormat="1" ht="15.75" customHeight="1" x14ac:dyDescent="0.25"/>
    <row r="901" s="23" customFormat="1" ht="15.75" customHeight="1" x14ac:dyDescent="0.25"/>
    <row r="902" s="23" customFormat="1" ht="15.75" customHeight="1" x14ac:dyDescent="0.25"/>
    <row r="903" s="23" customFormat="1" ht="15.75" customHeight="1" x14ac:dyDescent="0.25"/>
    <row r="904" s="23" customFormat="1" ht="15.75" customHeight="1" x14ac:dyDescent="0.25"/>
    <row r="905" s="23" customFormat="1" ht="15.75" customHeight="1" x14ac:dyDescent="0.25"/>
    <row r="906" s="23" customFormat="1" ht="15.75" customHeight="1" x14ac:dyDescent="0.25"/>
    <row r="907" s="23" customFormat="1" ht="15.75" customHeight="1" x14ac:dyDescent="0.25"/>
    <row r="908" s="23" customFormat="1" ht="15.75" customHeight="1" x14ac:dyDescent="0.25"/>
    <row r="909" s="23" customFormat="1" ht="15.75" customHeight="1" x14ac:dyDescent="0.25"/>
    <row r="910" s="23" customFormat="1" ht="15.75" customHeight="1" x14ac:dyDescent="0.25"/>
    <row r="911" s="23" customFormat="1" ht="15.75" customHeight="1" x14ac:dyDescent="0.25"/>
    <row r="912" s="23" customFormat="1" ht="15.75" customHeight="1" x14ac:dyDescent="0.25"/>
    <row r="913" s="23" customFormat="1" ht="15.75" customHeight="1" x14ac:dyDescent="0.25"/>
    <row r="914" s="23" customFormat="1" ht="15.75" customHeight="1" x14ac:dyDescent="0.25"/>
    <row r="915" s="23" customFormat="1" ht="15.75" customHeight="1" x14ac:dyDescent="0.25"/>
    <row r="916" s="23" customFormat="1" ht="15.75" customHeight="1" x14ac:dyDescent="0.25"/>
    <row r="917" s="23" customFormat="1" ht="15.75" customHeight="1" x14ac:dyDescent="0.25"/>
    <row r="918" s="23" customFormat="1" ht="15.75" customHeight="1" x14ac:dyDescent="0.25"/>
    <row r="919" s="23" customFormat="1" ht="15.75" customHeight="1" x14ac:dyDescent="0.25"/>
    <row r="920" s="23" customFormat="1" ht="15.75" customHeight="1" x14ac:dyDescent="0.25"/>
    <row r="921" s="23" customFormat="1" ht="15.75" customHeight="1" x14ac:dyDescent="0.25"/>
    <row r="922" s="23" customFormat="1" ht="15.75" customHeight="1" x14ac:dyDescent="0.25"/>
    <row r="923" s="23" customFormat="1" ht="15.75" customHeight="1" x14ac:dyDescent="0.25"/>
    <row r="924" s="23" customFormat="1" ht="15.75" customHeight="1" x14ac:dyDescent="0.25"/>
    <row r="925" s="23" customFormat="1" ht="15.75" customHeight="1" x14ac:dyDescent="0.25"/>
    <row r="926" s="23" customFormat="1" ht="15.75" customHeight="1" x14ac:dyDescent="0.25"/>
    <row r="927" s="23" customFormat="1" ht="15.75" customHeight="1" x14ac:dyDescent="0.25"/>
    <row r="928" s="23" customFormat="1" ht="15.75" customHeight="1" x14ac:dyDescent="0.25"/>
    <row r="929" s="23" customFormat="1" ht="15.75" customHeight="1" x14ac:dyDescent="0.25"/>
    <row r="930" s="23" customFormat="1" ht="15.75" customHeight="1" x14ac:dyDescent="0.25"/>
    <row r="931" s="23" customFormat="1" ht="15.75" customHeight="1" x14ac:dyDescent="0.25"/>
    <row r="932" s="23" customFormat="1" ht="15.75" customHeight="1" x14ac:dyDescent="0.25"/>
    <row r="933" s="23" customFormat="1" ht="15.75" customHeight="1" x14ac:dyDescent="0.25"/>
    <row r="934" s="23" customFormat="1" ht="15.75" customHeight="1" x14ac:dyDescent="0.25"/>
    <row r="935" s="23" customFormat="1" ht="15.75" customHeight="1" x14ac:dyDescent="0.25"/>
    <row r="936" s="23" customFormat="1" ht="15.75" customHeight="1" x14ac:dyDescent="0.25"/>
    <row r="937" s="23" customFormat="1" ht="15.75" customHeight="1" x14ac:dyDescent="0.25"/>
    <row r="938" s="23" customFormat="1" ht="15.75" customHeight="1" x14ac:dyDescent="0.25"/>
    <row r="939" s="23" customFormat="1" ht="15.75" customHeight="1" x14ac:dyDescent="0.25"/>
    <row r="940" s="23" customFormat="1" ht="15.75" customHeight="1" x14ac:dyDescent="0.25"/>
    <row r="941" s="23" customFormat="1" ht="15.75" customHeight="1" x14ac:dyDescent="0.25"/>
    <row r="942" s="23" customFormat="1" ht="15.75" customHeight="1" x14ac:dyDescent="0.25"/>
    <row r="943" s="23" customFormat="1" ht="15.75" customHeight="1" x14ac:dyDescent="0.25"/>
    <row r="944" s="23" customFormat="1" ht="15.75" customHeight="1" x14ac:dyDescent="0.25"/>
    <row r="945" s="23" customFormat="1" ht="15.75" customHeight="1" x14ac:dyDescent="0.25"/>
    <row r="946" s="23" customFormat="1" ht="15.75" customHeight="1" x14ac:dyDescent="0.25"/>
    <row r="947" s="23" customFormat="1" ht="15.75" customHeight="1" x14ac:dyDescent="0.25"/>
    <row r="948" s="23" customFormat="1" ht="15.75" customHeight="1" x14ac:dyDescent="0.25"/>
    <row r="949" s="23" customFormat="1" ht="15.75" customHeight="1" x14ac:dyDescent="0.25"/>
    <row r="950" s="23" customFormat="1" ht="15.75" customHeight="1" x14ac:dyDescent="0.25"/>
    <row r="951" s="23" customFormat="1" ht="15.75" customHeight="1" x14ac:dyDescent="0.25"/>
    <row r="952" s="23" customFormat="1" ht="15.75" customHeight="1" x14ac:dyDescent="0.25"/>
    <row r="953" s="23" customFormat="1" ht="15.75" customHeight="1" x14ac:dyDescent="0.25"/>
    <row r="954" s="23" customFormat="1" ht="15.75" customHeight="1" x14ac:dyDescent="0.25"/>
    <row r="955" s="23" customFormat="1" ht="15.75" customHeight="1" x14ac:dyDescent="0.25"/>
    <row r="956" s="23" customFormat="1" ht="15.75" customHeight="1" x14ac:dyDescent="0.25"/>
    <row r="957" s="23" customFormat="1" ht="15.75" customHeight="1" x14ac:dyDescent="0.25"/>
    <row r="958" s="23" customFormat="1" ht="15.75" customHeight="1" x14ac:dyDescent="0.25"/>
    <row r="959" s="23" customFormat="1" ht="15.75" customHeight="1" x14ac:dyDescent="0.25"/>
    <row r="960" s="23" customFormat="1" ht="15.75" customHeight="1" x14ac:dyDescent="0.25"/>
    <row r="961" s="23" customFormat="1" ht="15.75" customHeight="1" x14ac:dyDescent="0.25"/>
    <row r="962" s="23" customFormat="1" ht="15.75" customHeight="1" x14ac:dyDescent="0.25"/>
    <row r="963" s="23" customFormat="1" ht="15.75" customHeight="1" x14ac:dyDescent="0.25"/>
    <row r="964" s="23" customFormat="1" ht="15.75" customHeight="1" x14ac:dyDescent="0.25"/>
    <row r="965" s="23" customFormat="1" ht="15.75" customHeight="1" x14ac:dyDescent="0.25"/>
    <row r="966" s="23" customFormat="1" ht="15.75" customHeight="1" x14ac:dyDescent="0.25"/>
    <row r="967" s="23" customFormat="1" ht="15.75" customHeight="1" x14ac:dyDescent="0.25"/>
    <row r="968" s="23" customFormat="1" ht="15.75" customHeight="1" x14ac:dyDescent="0.25"/>
    <row r="969" s="23" customFormat="1" ht="15.75" customHeight="1" x14ac:dyDescent="0.25"/>
    <row r="970" s="23" customFormat="1" ht="15.75" customHeight="1" x14ac:dyDescent="0.25"/>
    <row r="971" s="23" customFormat="1" ht="15.75" customHeight="1" x14ac:dyDescent="0.25"/>
    <row r="972" s="23" customFormat="1" ht="15.75" customHeight="1" x14ac:dyDescent="0.25"/>
    <row r="973" s="23" customFormat="1" ht="15.75" customHeight="1" x14ac:dyDescent="0.25"/>
    <row r="974" s="23" customFormat="1" ht="15.75" customHeight="1" x14ac:dyDescent="0.25"/>
    <row r="975" s="23" customFormat="1" ht="15.75" customHeight="1" x14ac:dyDescent="0.25"/>
    <row r="976" s="23" customFormat="1" ht="15.75" customHeight="1" x14ac:dyDescent="0.25"/>
    <row r="977" s="23" customFormat="1" ht="15.75" customHeight="1" x14ac:dyDescent="0.25"/>
    <row r="978" s="23" customFormat="1" ht="15.75" customHeight="1" x14ac:dyDescent="0.25"/>
    <row r="979" s="23" customFormat="1" ht="15.75" customHeight="1" x14ac:dyDescent="0.25"/>
    <row r="980" s="23" customFormat="1" ht="15.75" customHeight="1" x14ac:dyDescent="0.25"/>
    <row r="981" s="23" customFormat="1" ht="15.75" customHeight="1" x14ac:dyDescent="0.25"/>
    <row r="982" s="23" customFormat="1" ht="15.75" customHeight="1" x14ac:dyDescent="0.25"/>
    <row r="983" s="23" customFormat="1" ht="15.75" customHeight="1" x14ac:dyDescent="0.25"/>
    <row r="984" s="23" customFormat="1" ht="15.75" customHeight="1" x14ac:dyDescent="0.25"/>
    <row r="985" s="23" customFormat="1" ht="15.75" customHeight="1" x14ac:dyDescent="0.25"/>
    <row r="986" s="23" customFormat="1" ht="15.75" customHeight="1" x14ac:dyDescent="0.25"/>
    <row r="987" s="23" customFormat="1" ht="15.75" customHeight="1" x14ac:dyDescent="0.25"/>
    <row r="988" s="23" customFormat="1" ht="15.75" customHeight="1" x14ac:dyDescent="0.25"/>
    <row r="989" s="23" customFormat="1" ht="15.75" customHeight="1" x14ac:dyDescent="0.25"/>
    <row r="990" s="23" customFormat="1" ht="15.75" customHeight="1" x14ac:dyDescent="0.25"/>
    <row r="991" s="23" customFormat="1" ht="15.75" customHeight="1" x14ac:dyDescent="0.25"/>
    <row r="992" s="23" customFormat="1" ht="15.75" customHeight="1" x14ac:dyDescent="0.25"/>
    <row r="993" s="23" customFormat="1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">
    <mergeCell ref="A1:D1"/>
    <mergeCell ref="A4:D4"/>
    <mergeCell ref="A5:D5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general_info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Prinz</dc:creator>
  <cp:lastModifiedBy>S Prinz</cp:lastModifiedBy>
  <dcterms:created xsi:type="dcterms:W3CDTF">2025-05-23T08:24:27Z</dcterms:created>
  <dcterms:modified xsi:type="dcterms:W3CDTF">2025-12-22T19:21:01Z</dcterms:modified>
</cp:coreProperties>
</file>