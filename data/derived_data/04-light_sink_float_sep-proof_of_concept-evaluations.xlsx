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derived_data\"/>
    </mc:Choice>
  </mc:AlternateContent>
  <xr:revisionPtr revIDLastSave="0" documentId="13_ncr:1_{35111B0E-005D-42C3-AF15-D098839E5C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valuation_plastic_separation" sheetId="3" r:id="rId1"/>
    <sheet name="general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ZaLbGlAsG6H6Ni+Ai3tDTKQ54zGasfV71Dg4FUNi2M="/>
    </ext>
  </extLst>
</workbook>
</file>

<file path=xl/calcChain.xml><?xml version="1.0" encoding="utf-8"?>
<calcChain xmlns="http://schemas.openxmlformats.org/spreadsheetml/2006/main">
  <c r="L2" i="3" l="1"/>
  <c r="K2" i="3"/>
  <c r="M2" i="3" l="1"/>
</calcChain>
</file>

<file path=xl/sharedStrings.xml><?xml version="1.0" encoding="utf-8"?>
<sst xmlns="http://schemas.openxmlformats.org/spreadsheetml/2006/main" count="61" uniqueCount="38">
  <si>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</si>
  <si>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</si>
  <si>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</si>
  <si>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</si>
  <si>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</si>
  <si>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</si>
  <si>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</si>
  <si>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</si>
  <si>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in_tot_g</t>
  </si>
  <si>
    <t>float_right_g</t>
  </si>
  <si>
    <t>sink_right_g</t>
  </si>
  <si>
    <t>sep_sol_id</t>
  </si>
  <si>
    <t>a</t>
  </si>
  <si>
    <t>float_HDPE_g</t>
  </si>
  <si>
    <t>purity_float</t>
  </si>
  <si>
    <t>purity_sink</t>
  </si>
  <si>
    <t>combined_purity</t>
  </si>
  <si>
    <t>in_PP_g</t>
  </si>
  <si>
    <t>in_HDPE_g</t>
  </si>
  <si>
    <t>sink_PP_g</t>
  </si>
  <si>
    <t>The sorting step that is tested during the recording of an observation has two possible outputs (sink and float).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</si>
  <si>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</si>
  <si>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</si>
  <si>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</si>
  <si>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Number of repetiton for combination of sep_sol and stir_method</t>
  </si>
  <si>
    <t>Mass of PP added to input plastic (theoretical)</t>
  </si>
  <si>
    <t>g</t>
  </si>
  <si>
    <t>Mass of HDPE added to input plastic (theoretical)</t>
  </si>
  <si>
    <t>Total mass of plastic flakes in input plastic (theoretical)</t>
  </si>
  <si>
    <t>Measured mass of plastic flakes correctly assigned to float fraction</t>
  </si>
  <si>
    <t>Measured mass of HDPE flakes misclassified to float fraction</t>
  </si>
  <si>
    <t>Measured mass of PP flakes misclassified to sink fraction</t>
  </si>
  <si>
    <t>Measured mass of plastic flakes correctly assigned to sink fraction</t>
  </si>
  <si>
    <t>Data evaluation sheet for test 04 "Light sink-float separation - Proof of concept"</t>
  </si>
  <si>
    <t>Calculated purity of the float fraction</t>
  </si>
  <si>
    <t>%</t>
  </si>
  <si>
    <t>Calculated purity of the sink fraction</t>
  </si>
  <si>
    <t>Combined purity (average of purity_float and purity_sink)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</si>
</sst>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scheme val="minor"/>
    </font>
    <font>
      <sz val="11"/>
      <color rgb="FF000000"/>
      <name val="Aptos Narrow"/>
    </font>
    <font>
      <b/>
      <sz val="11"/>
      <name val="Aptos Narrow"/>
    </font>
    <font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6C6AC"/>
        <bgColor indexed="64"/>
      </patternFill>
    </fill>
    <fill>
      <patternFill patternType="solid">
        <fgColor rgb="FFFAE2D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1">
    <xf numFmtId="0" fontId="0" fillId="0" borderId="0" xfId="0" applyFont="1" applyAlignment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2" fillId="7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3" borderId="7" xfId="0" applyFont="1" applyFill="1" applyBorder="1"/>
    <xf numFmtId="0" fontId="6" fillId="4" borderId="7" xfId="0" applyFont="1" applyFill="1" applyBorder="1"/>
    <xf numFmtId="0" fontId="6" fillId="5" borderId="7" xfId="0" applyFont="1" applyFill="1" applyBorder="1"/>
    <xf numFmtId="0" fontId="7" fillId="0" borderId="0" xfId="0" applyFont="1" applyAlignment="1"/>
    <xf numFmtId="0" fontId="4" fillId="7" borderId="1" xfId="0" applyFont="1" applyFill="1" applyBorder="1"/>
    <xf numFmtId="164" fontId="2" fillId="8" borderId="1" xfId="0" applyNumberFormat="1" applyFont="1" applyFill="1" applyBorder="1"/>
    <xf numFmtId="0" fontId="6" fillId="5" borderId="8" xfId="0" applyFont="1" applyFill="1" applyBorder="1"/>
    <xf numFmtId="0" fontId="2" fillId="10" borderId="10" xfId="0" applyFont="1" applyFill="1" applyBorder="1"/>
    <xf numFmtId="0" fontId="10" fillId="6" borderId="9" xfId="0" applyFont="1" applyFill="1" applyBorder="1" applyAlignment="1"/>
    <xf numFmtId="10" fontId="9" fillId="11" borderId="9" xfId="1" applyNumberFormat="1" applyFont="1" applyFill="1" applyBorder="1" applyAlignment="1"/>
    <xf numFmtId="0" fontId="5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13" xfId="0" applyFill="1" applyBorder="1"/>
    <xf numFmtId="0" fontId="0" fillId="7" borderId="9" xfId="0" applyFill="1" applyBorder="1"/>
    <xf numFmtId="0" fontId="4" fillId="8" borderId="1" xfId="0" applyFont="1" applyFill="1" applyBorder="1"/>
    <xf numFmtId="0" fontId="0" fillId="12" borderId="13" xfId="0" applyFont="1" applyFill="1" applyBorder="1" applyAlignment="1"/>
    <xf numFmtId="0" fontId="0" fillId="13" borderId="9" xfId="0" applyFont="1" applyFill="1" applyBorder="1" applyAlignment="1"/>
    <xf numFmtId="0" fontId="0" fillId="13" borderId="14" xfId="0" applyFont="1" applyFill="1" applyBorder="1" applyAlignment="1"/>
    <xf numFmtId="0" fontId="0" fillId="12" borderId="12" xfId="0" applyFont="1" applyFill="1" applyBorder="1" applyAlignment="1"/>
    <xf numFmtId="0" fontId="0" fillId="13" borderId="15" xfId="0" applyFont="1" applyFill="1" applyBorder="1" applyAlignment="1"/>
    <xf numFmtId="0" fontId="0" fillId="13" borderId="11" xfId="0" applyFont="1" applyFill="1" applyBorder="1" applyAlignment="1"/>
  </cellXfs>
  <cellStyles count="2">
    <cellStyle name="Normal" xfId="0" builtinId="0"/>
    <cellStyle name="Percent" xfId="1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4" formatCode="0.00%"/>
      <fill>
        <patternFill patternType="solid">
          <fgColor rgb="FFFAE2D5"/>
          <bgColor rgb="FFFAE2D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AAC51-5BCC-4294-814E-5BED1217683A}" name="Table33" displayName="Table33" ref="A1:M2" totalsRowShown="0" headerRowDxfId="24" dataDxfId="22" headerRowBorderDxfId="23" tableBorderDxfId="21" totalsRowBorderDxfId="20">
  <autoFilter ref="A1:M2" xr:uid="{A646DC29-CDD2-4BA3-B783-ED282316E5B1}"/>
  <sortState xmlns:xlrd2="http://schemas.microsoft.com/office/spreadsheetml/2017/richdata2" ref="A2:M2">
    <sortCondition descending="1" ref="M1:M2"/>
  </sortState>
  <tableColumns count="13">
    <tableColumn id="1" xr3:uid="{7409B1D6-C683-40F9-8316-6A50B121AAE0}" name="id" dataDxfId="19"/>
    <tableColumn id="25" xr3:uid="{E50494C5-B231-4975-BEC9-E26475DDB7F5}" name="sep_sol_id" dataDxfId="18"/>
    <tableColumn id="3" xr3:uid="{E6D32DE5-3AE4-4F41-92FE-6BE25C36E675}" name="run" dataDxfId="17"/>
    <tableColumn id="8" xr3:uid="{C423F5EF-35FD-41BF-90FD-14953410FE6B}" name="in_PP_g" dataDxfId="16"/>
    <tableColumn id="13" xr3:uid="{8F376C30-E428-4337-8C8C-591D356A20B3}" name="in_HDPE_g" dataDxfId="15"/>
    <tableColumn id="9" xr3:uid="{9AF864DE-C855-4BB2-B74A-053A6D518961}" name="in_tot_g" dataDxfId="14"/>
    <tableColumn id="10" xr3:uid="{2D00310B-180E-4026-8947-70C3E9C0FC6B}" name="float_right_g" dataDxfId="13"/>
    <tableColumn id="2" xr3:uid="{CE5BDBEB-744F-4314-B32B-E7986B16D0EF}" name="float_HDPE_g" dataDxfId="12"/>
    <tableColumn id="14" xr3:uid="{0256642D-7AD7-4E2E-B60C-DD431B565F83}" name="sink_PP_g" dataDxfId="11"/>
    <tableColumn id="15" xr3:uid="{2A9478BF-1F82-4A97-B049-85D31F4346D9}" name="sink_right_g" dataDxfId="10"/>
    <tableColumn id="5" xr3:uid="{7A460CAE-7F38-487D-903B-C8AB1358AF57}" name="purity_float" dataDxfId="9" dataCellStyle="Percent">
      <calculatedColumnFormula>Table33[[#This Row],[float_right_g]]/SUM(Table33[[#This Row],[float_right_g]:[float_HDPE_g]])</calculatedColumnFormula>
    </tableColumn>
    <tableColumn id="6" xr3:uid="{6231606E-AB05-4B60-A781-4B917215B874}" name="purity_sink" dataDxfId="8" dataCellStyle="Percent">
      <calculatedColumnFormula>Table33[[#This Row],[sink_right_g]]/SUM(Table33[[#This Row],[sink_PP_g]:[sink_right_g]])</calculatedColumnFormula>
    </tableColumn>
    <tableColumn id="7" xr3:uid="{BC8D1BC9-AAF8-4D51-9496-FA82D1B60275}" name="combined_purity" dataDxfId="7" dataCellStyle="Percent">
      <calculatedColumnFormula>(Table33[[#This Row],[purity_float]]+Table33[[#This Row],[purity_sink]])/2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3BE37-5FAF-4E40-B6F7-18036D3298C7}" name="Table13" displayName="Table13" ref="A8:C21" totalsRowShown="0" headerRowDxfId="6" headerRowBorderDxfId="4" tableBorderDxfId="5" totalsRowBorderDxfId="3">
  <autoFilter ref="A8:C21" xr:uid="{B343BE37-5FAF-4E40-B6F7-18036D3298C7}"/>
  <tableColumns count="3">
    <tableColumn id="1" xr3:uid="{7677C46D-C7F6-4214-B187-33C96829BCFA}" name="variable" dataDxfId="2"/>
    <tableColumn id="2" xr3:uid="{ED6FC108-EAC8-4C18-9204-AB61DF0179BA}" name="description" dataDxfId="1"/>
    <tableColumn id="3" xr3:uid="{19895C87-B248-4006-86C3-F62E21BB1A51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6A71-EA2A-4376-BF3A-44369BAB9336}">
  <dimension ref="A1:M998"/>
  <sheetViews>
    <sheetView workbookViewId="0">
      <selection activeCell="G29" sqref="G29"/>
    </sheetView>
  </sheetViews>
  <sheetFormatPr defaultColWidth="12.5703125" defaultRowHeight="15" customHeight="1" x14ac:dyDescent="0.25"/>
  <cols>
    <col min="1" max="1" width="5" bestFit="1" customWidth="1"/>
    <col min="2" max="2" width="12.7109375" bestFit="1" customWidth="1"/>
    <col min="3" max="3" width="6.28515625" bestFit="1" customWidth="1"/>
    <col min="4" max="4" width="10" bestFit="1" customWidth="1"/>
    <col min="5" max="5" width="12.85546875" bestFit="1" customWidth="1"/>
    <col min="6" max="6" width="10.28515625" bestFit="1" customWidth="1"/>
    <col min="7" max="7" width="14.28515625" bestFit="1" customWidth="1"/>
    <col min="8" max="8" width="15.42578125" bestFit="1" customWidth="1"/>
    <col min="9" max="9" width="12" bestFit="1" customWidth="1"/>
    <col min="10" max="10" width="13.85546875" bestFit="1" customWidth="1"/>
    <col min="11" max="11" width="13.5703125" bestFit="1" customWidth="1"/>
    <col min="12" max="12" width="13.140625" bestFit="1" customWidth="1"/>
    <col min="13" max="13" width="18.5703125" bestFit="1" customWidth="1"/>
    <col min="14" max="14" width="14.42578125" bestFit="1" customWidth="1"/>
    <col min="15" max="15" width="14.85546875" bestFit="1" customWidth="1"/>
    <col min="16" max="16" width="13.85546875" bestFit="1" customWidth="1"/>
    <col min="17" max="17" width="14.42578125" bestFit="1" customWidth="1"/>
    <col min="18" max="18" width="14.85546875" bestFit="1" customWidth="1"/>
    <col min="19" max="19" width="13.85546875" bestFit="1" customWidth="1"/>
    <col min="20" max="25" width="9.28515625" customWidth="1"/>
  </cols>
  <sheetData>
    <row r="1" spans="1:13" s="17" customFormat="1" x14ac:dyDescent="0.25">
      <c r="A1" s="12" t="s">
        <v>0</v>
      </c>
      <c r="B1" s="13" t="s">
        <v>11</v>
      </c>
      <c r="C1" s="13" t="s">
        <v>7</v>
      </c>
      <c r="D1" s="14" t="s">
        <v>17</v>
      </c>
      <c r="E1" s="14" t="s">
        <v>18</v>
      </c>
      <c r="F1" s="14" t="s">
        <v>8</v>
      </c>
      <c r="G1" s="15" t="s">
        <v>9</v>
      </c>
      <c r="H1" s="15" t="s">
        <v>13</v>
      </c>
      <c r="I1" s="16" t="s">
        <v>19</v>
      </c>
      <c r="J1" s="20" t="s">
        <v>10</v>
      </c>
      <c r="K1" s="22" t="s">
        <v>14</v>
      </c>
      <c r="L1" s="22" t="s">
        <v>15</v>
      </c>
      <c r="M1" s="22" t="s">
        <v>16</v>
      </c>
    </row>
    <row r="2" spans="1:13" x14ac:dyDescent="0.25">
      <c r="A2" s="11">
        <v>1</v>
      </c>
      <c r="B2" s="18" t="s">
        <v>12</v>
      </c>
      <c r="C2" s="1">
        <v>1</v>
      </c>
      <c r="D2" s="19">
        <v>1.5</v>
      </c>
      <c r="E2" s="19">
        <v>1.5</v>
      </c>
      <c r="F2" s="19">
        <v>3</v>
      </c>
      <c r="G2" s="3">
        <v>1.5</v>
      </c>
      <c r="H2" s="3">
        <v>0</v>
      </c>
      <c r="I2" s="4">
        <v>0</v>
      </c>
      <c r="J2" s="21">
        <v>1.5</v>
      </c>
      <c r="K2" s="23">
        <f>Table33[[#This Row],[float_right_g]]/SUM(Table33[[#This Row],[float_right_g]:[float_HDPE_g]])</f>
        <v>1</v>
      </c>
      <c r="L2" s="23">
        <f>Table33[[#This Row],[sink_right_g]]/SUM(Table33[[#This Row],[sink_PP_g]:[sink_right_g]])</f>
        <v>1</v>
      </c>
      <c r="M2" s="23">
        <f>(Table33[[#This Row],[purity_float]]+Table33[[#This Row],[purity_sink]])/2</f>
        <v>1</v>
      </c>
    </row>
    <row r="3" spans="1:13" x14ac:dyDescent="0.25"/>
    <row r="4" spans="1:13" x14ac:dyDescent="0.25"/>
    <row r="5" spans="1:13" x14ac:dyDescent="0.25"/>
    <row r="6" spans="1:13" x14ac:dyDescent="0.25"/>
    <row r="7" spans="1:13" x14ac:dyDescent="0.25"/>
    <row r="8" spans="1:13" x14ac:dyDescent="0.25"/>
    <row r="9" spans="1:13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heetProtection sheet="1" objects="1" scenarios="1"/>
  <phoneticPr fontId="8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2"/>
  <sheetViews>
    <sheetView tabSelected="1" workbookViewId="0">
      <selection activeCell="I15" sqref="I15"/>
    </sheetView>
  </sheetViews>
  <sheetFormatPr defaultColWidth="12.5703125" defaultRowHeight="15" customHeight="1" x14ac:dyDescent="0.25"/>
  <cols>
    <col min="1" max="1" width="15.85546875" style="25" bestFit="1" customWidth="1"/>
    <col min="2" max="2" width="61.28515625" style="25" bestFit="1" customWidth="1"/>
    <col min="3" max="3" width="6.85546875" style="25" bestFit="1" customWidth="1"/>
    <col min="4" max="4" width="40" style="25" customWidth="1"/>
    <col min="5" max="26" width="8.5703125" style="25" customWidth="1"/>
    <col min="27" max="16384" width="12.5703125" style="25"/>
  </cols>
  <sheetData>
    <row r="1" spans="1:4" ht="18" x14ac:dyDescent="0.25">
      <c r="A1" s="24" t="s">
        <v>33</v>
      </c>
      <c r="B1" s="24"/>
      <c r="C1" s="24"/>
      <c r="D1" s="24"/>
    </row>
    <row r="3" spans="1:4" ht="15" customHeight="1" x14ac:dyDescent="0.25">
      <c r="A3" s="26" t="s">
        <v>1</v>
      </c>
    </row>
    <row r="4" spans="1:4" ht="15" customHeight="1" x14ac:dyDescent="0.25">
      <c r="A4" s="27" t="s">
        <v>20</v>
      </c>
      <c r="B4" s="27"/>
      <c r="C4" s="27"/>
      <c r="D4" s="27"/>
    </row>
    <row r="5" spans="1:4" ht="15" customHeight="1" x14ac:dyDescent="0.25">
      <c r="A5" s="28" t="s">
        <v>21</v>
      </c>
      <c r="B5" s="28"/>
      <c r="C5" s="28"/>
      <c r="D5" s="28"/>
    </row>
    <row r="7" spans="1:4" ht="15" customHeight="1" x14ac:dyDescent="0.25">
      <c r="A7" s="26" t="s">
        <v>22</v>
      </c>
      <c r="B7" s="26"/>
    </row>
    <row r="8" spans="1:4" ht="15" customHeight="1" x14ac:dyDescent="0.25">
      <c r="A8" s="29" t="s">
        <v>3</v>
      </c>
      <c r="B8" s="30" t="s">
        <v>2</v>
      </c>
      <c r="C8" s="31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11</v>
      </c>
      <c r="B10" s="1" t="s">
        <v>23</v>
      </c>
      <c r="C10" s="1" t="s">
        <v>6</v>
      </c>
    </row>
    <row r="11" spans="1:4" ht="15" customHeight="1" x14ac:dyDescent="0.25">
      <c r="A11" s="32" t="s">
        <v>7</v>
      </c>
      <c r="B11" s="33" t="s">
        <v>24</v>
      </c>
      <c r="C11" s="1" t="s">
        <v>6</v>
      </c>
    </row>
    <row r="12" spans="1:4" ht="15" customHeight="1" x14ac:dyDescent="0.25">
      <c r="A12" s="6" t="s">
        <v>17</v>
      </c>
      <c r="B12" s="2" t="s">
        <v>25</v>
      </c>
      <c r="C12" s="2" t="s">
        <v>26</v>
      </c>
    </row>
    <row r="13" spans="1:4" ht="15" customHeight="1" x14ac:dyDescent="0.25">
      <c r="A13" s="6" t="s">
        <v>18</v>
      </c>
      <c r="B13" s="2" t="s">
        <v>27</v>
      </c>
      <c r="C13" s="2" t="s">
        <v>26</v>
      </c>
    </row>
    <row r="14" spans="1:4" ht="15" customHeight="1" x14ac:dyDescent="0.25">
      <c r="A14" s="6" t="s">
        <v>8</v>
      </c>
      <c r="B14" s="34" t="s">
        <v>28</v>
      </c>
      <c r="C14" s="2" t="s">
        <v>26</v>
      </c>
    </row>
    <row r="15" spans="1:4" ht="15" customHeight="1" x14ac:dyDescent="0.25">
      <c r="A15" s="7" t="s">
        <v>9</v>
      </c>
      <c r="B15" s="3" t="s">
        <v>29</v>
      </c>
      <c r="C15" s="3" t="s">
        <v>26</v>
      </c>
    </row>
    <row r="16" spans="1:4" ht="15" customHeight="1" x14ac:dyDescent="0.25">
      <c r="A16" s="7" t="s">
        <v>13</v>
      </c>
      <c r="B16" s="9" t="s">
        <v>30</v>
      </c>
      <c r="C16" s="3" t="s">
        <v>26</v>
      </c>
    </row>
    <row r="17" spans="1:3" ht="15.75" customHeight="1" x14ac:dyDescent="0.25">
      <c r="A17" s="8" t="s">
        <v>19</v>
      </c>
      <c r="B17" s="4" t="s">
        <v>31</v>
      </c>
      <c r="C17" s="4" t="s">
        <v>26</v>
      </c>
    </row>
    <row r="18" spans="1:3" ht="15.75" customHeight="1" x14ac:dyDescent="0.25">
      <c r="A18" s="8" t="s">
        <v>10</v>
      </c>
      <c r="B18" s="10" t="s">
        <v>32</v>
      </c>
      <c r="C18" s="4" t="s">
        <v>26</v>
      </c>
    </row>
    <row r="19" spans="1:3" ht="15.75" customHeight="1" x14ac:dyDescent="0.25">
      <c r="A19" s="35" t="s">
        <v>14</v>
      </c>
      <c r="B19" s="36" t="s">
        <v>34</v>
      </c>
      <c r="C19" s="37" t="s">
        <v>35</v>
      </c>
    </row>
    <row r="20" spans="1:3" ht="15.75" customHeight="1" x14ac:dyDescent="0.25">
      <c r="A20" s="35" t="s">
        <v>15</v>
      </c>
      <c r="B20" s="36" t="s">
        <v>36</v>
      </c>
      <c r="C20" s="37" t="s">
        <v>35</v>
      </c>
    </row>
    <row r="21" spans="1:3" ht="15.75" customHeight="1" x14ac:dyDescent="0.25">
      <c r="A21" s="38" t="s">
        <v>16</v>
      </c>
      <c r="B21" s="39" t="s">
        <v>37</v>
      </c>
      <c r="C21" s="40" t="s">
        <v>35</v>
      </c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evaluation_plastic_separation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2025-12-22T19:26:25Z</dcterms:modified>
</cp:coreProperties>
</file>