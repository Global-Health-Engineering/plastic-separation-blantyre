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pri\Downloads\AW_ Follow-Up K Messe\"/>
    </mc:Choice>
  </mc:AlternateContent>
  <xr:revisionPtr revIDLastSave="0" documentId="13_ncr:1_{A6C8D776-5599-49C8-A5CA-CF0EA93F41E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Zusammenfassung" sheetId="2" r:id="rId1"/>
    <sheet name="Detailergebnisse" sheetId="4" r:id="rId2"/>
    <sheet name="Diagramme" sheetId="3" r:id="rId3"/>
    <sheet name="Rohdaten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8" i="4" l="1"/>
  <c r="I118" i="4"/>
  <c r="H118" i="4"/>
  <c r="G118" i="4"/>
  <c r="F118" i="4"/>
  <c r="E118" i="4"/>
  <c r="D118" i="4"/>
  <c r="C118" i="4"/>
  <c r="B118" i="4"/>
  <c r="K117" i="4"/>
  <c r="T116" i="4"/>
  <c r="S116" i="4"/>
  <c r="R116" i="4"/>
  <c r="Q116" i="4"/>
  <c r="P116" i="4"/>
  <c r="L116" i="4"/>
  <c r="K116" i="4"/>
  <c r="O116" i="4" s="1"/>
  <c r="L115" i="4"/>
  <c r="K115" i="4"/>
  <c r="R114" i="4"/>
  <c r="P114" i="4"/>
  <c r="O114" i="4"/>
  <c r="N114" i="4"/>
  <c r="M114" i="4"/>
  <c r="L114" i="4"/>
  <c r="K114" i="4"/>
  <c r="T114" i="4" s="1"/>
  <c r="R113" i="4"/>
  <c r="Q113" i="4"/>
  <c r="K113" i="4"/>
  <c r="T113" i="4" s="1"/>
  <c r="T112" i="4"/>
  <c r="S112" i="4"/>
  <c r="R112" i="4"/>
  <c r="Q112" i="4"/>
  <c r="P112" i="4"/>
  <c r="O112" i="4"/>
  <c r="N112" i="4"/>
  <c r="M112" i="4"/>
  <c r="L112" i="4"/>
  <c r="K112" i="4"/>
  <c r="Q111" i="4"/>
  <c r="P111" i="4"/>
  <c r="O111" i="4"/>
  <c r="N111" i="4"/>
  <c r="M111" i="4"/>
  <c r="K111" i="4"/>
  <c r="T111" i="4" s="1"/>
  <c r="S110" i="4"/>
  <c r="R110" i="4"/>
  <c r="L110" i="4"/>
  <c r="K110" i="4"/>
  <c r="T110" i="4" s="1"/>
  <c r="T109" i="4"/>
  <c r="S109" i="4"/>
  <c r="R109" i="4"/>
  <c r="Q109" i="4"/>
  <c r="P109" i="4"/>
  <c r="O109" i="4"/>
  <c r="N109" i="4"/>
  <c r="M109" i="4"/>
  <c r="L109" i="4"/>
  <c r="K109" i="4"/>
  <c r="T108" i="4"/>
  <c r="R108" i="4"/>
  <c r="Q108" i="4"/>
  <c r="P108" i="4"/>
  <c r="O108" i="4"/>
  <c r="N108" i="4"/>
  <c r="M108" i="4"/>
  <c r="L108" i="4"/>
  <c r="K108" i="4"/>
  <c r="S108" i="4" s="1"/>
  <c r="T107" i="4"/>
  <c r="S107" i="4"/>
  <c r="K107" i="4"/>
  <c r="R107" i="4" s="1"/>
  <c r="T106" i="4"/>
  <c r="S106" i="4"/>
  <c r="R106" i="4"/>
  <c r="Q106" i="4"/>
  <c r="P106" i="4"/>
  <c r="O106" i="4"/>
  <c r="N106" i="4"/>
  <c r="K106" i="4"/>
  <c r="M106" i="4" s="1"/>
  <c r="S105" i="4"/>
  <c r="R105" i="4"/>
  <c r="Q105" i="4"/>
  <c r="P105" i="4"/>
  <c r="O105" i="4"/>
  <c r="M105" i="4"/>
  <c r="K105" i="4"/>
  <c r="L105" i="4" s="1"/>
  <c r="T104" i="4"/>
  <c r="N104" i="4"/>
  <c r="L104" i="4"/>
  <c r="K104" i="4"/>
  <c r="S104" i="4" s="1"/>
  <c r="S103" i="4"/>
  <c r="Q103" i="4"/>
  <c r="P103" i="4"/>
  <c r="O103" i="4"/>
  <c r="K103" i="4"/>
  <c r="R103" i="4" s="1"/>
  <c r="P102" i="4"/>
  <c r="K102" i="4"/>
  <c r="K101" i="4"/>
  <c r="T100" i="4"/>
  <c r="S100" i="4"/>
  <c r="R100" i="4"/>
  <c r="Q100" i="4"/>
  <c r="P100" i="4"/>
  <c r="L100" i="4"/>
  <c r="K100" i="4"/>
  <c r="O100" i="4" s="1"/>
  <c r="Q99" i="4"/>
  <c r="L99" i="4"/>
  <c r="K99" i="4"/>
  <c r="R98" i="4"/>
  <c r="P98" i="4"/>
  <c r="O98" i="4"/>
  <c r="N98" i="4"/>
  <c r="M98" i="4"/>
  <c r="L98" i="4"/>
  <c r="K98" i="4"/>
  <c r="T98" i="4" s="1"/>
  <c r="R97" i="4"/>
  <c r="Q97" i="4"/>
  <c r="K97" i="4"/>
  <c r="T97" i="4" s="1"/>
  <c r="T96" i="4"/>
  <c r="S96" i="4"/>
  <c r="R96" i="4"/>
  <c r="Q96" i="4"/>
  <c r="P96" i="4"/>
  <c r="O96" i="4"/>
  <c r="N96" i="4"/>
  <c r="M96" i="4"/>
  <c r="L96" i="4"/>
  <c r="K96" i="4"/>
  <c r="Q95" i="4"/>
  <c r="P95" i="4"/>
  <c r="O95" i="4"/>
  <c r="N95" i="4"/>
  <c r="M95" i="4"/>
  <c r="K95" i="4"/>
  <c r="T95" i="4" s="1"/>
  <c r="S94" i="4"/>
  <c r="R94" i="4"/>
  <c r="L94" i="4"/>
  <c r="K94" i="4"/>
  <c r="T94" i="4" s="1"/>
  <c r="T93" i="4"/>
  <c r="S93" i="4"/>
  <c r="R93" i="4"/>
  <c r="Q93" i="4"/>
  <c r="P93" i="4"/>
  <c r="O93" i="4"/>
  <c r="N93" i="4"/>
  <c r="M93" i="4"/>
  <c r="L93" i="4"/>
  <c r="K93" i="4"/>
  <c r="J88" i="4"/>
  <c r="I88" i="4"/>
  <c r="H88" i="4"/>
  <c r="G88" i="4"/>
  <c r="F88" i="4"/>
  <c r="E88" i="4"/>
  <c r="D88" i="4"/>
  <c r="C88" i="4"/>
  <c r="B88" i="4"/>
  <c r="T87" i="4"/>
  <c r="S87" i="4"/>
  <c r="R87" i="4"/>
  <c r="Q87" i="4"/>
  <c r="P87" i="4"/>
  <c r="O87" i="4"/>
  <c r="N87" i="4"/>
  <c r="M87" i="4"/>
  <c r="L87" i="4"/>
  <c r="K87" i="4"/>
  <c r="S86" i="4"/>
  <c r="Q86" i="4"/>
  <c r="P86" i="4"/>
  <c r="O86" i="4"/>
  <c r="N86" i="4"/>
  <c r="M86" i="4"/>
  <c r="K86" i="4"/>
  <c r="T86" i="4" s="1"/>
  <c r="S85" i="4"/>
  <c r="R85" i="4"/>
  <c r="L85" i="4"/>
  <c r="K85" i="4"/>
  <c r="T85" i="4" s="1"/>
  <c r="T84" i="4"/>
  <c r="S84" i="4"/>
  <c r="R84" i="4"/>
  <c r="Q84" i="4"/>
  <c r="P84" i="4"/>
  <c r="O84" i="4"/>
  <c r="N84" i="4"/>
  <c r="M84" i="4"/>
  <c r="L84" i="4"/>
  <c r="K84" i="4"/>
  <c r="T83" i="4"/>
  <c r="R83" i="4"/>
  <c r="Q83" i="4"/>
  <c r="P83" i="4"/>
  <c r="O83" i="4"/>
  <c r="N83" i="4"/>
  <c r="L83" i="4"/>
  <c r="K83" i="4"/>
  <c r="S83" i="4" s="1"/>
  <c r="T82" i="4"/>
  <c r="S82" i="4"/>
  <c r="M82" i="4"/>
  <c r="K82" i="4"/>
  <c r="T81" i="4"/>
  <c r="S81" i="4"/>
  <c r="R81" i="4"/>
  <c r="Q81" i="4"/>
  <c r="P81" i="4"/>
  <c r="O81" i="4"/>
  <c r="N81" i="4"/>
  <c r="K81" i="4"/>
  <c r="M81" i="4" s="1"/>
  <c r="S80" i="4"/>
  <c r="R80" i="4"/>
  <c r="Q80" i="4"/>
  <c r="P80" i="4"/>
  <c r="O80" i="4"/>
  <c r="K80" i="4"/>
  <c r="M80" i="4" s="1"/>
  <c r="T79" i="4"/>
  <c r="N79" i="4"/>
  <c r="L79" i="4"/>
  <c r="K79" i="4"/>
  <c r="Q78" i="4"/>
  <c r="P78" i="4"/>
  <c r="O78" i="4"/>
  <c r="K78" i="4"/>
  <c r="S78" i="4" s="1"/>
  <c r="K77" i="4"/>
  <c r="M76" i="4"/>
  <c r="L76" i="4"/>
  <c r="K76" i="4"/>
  <c r="T75" i="4"/>
  <c r="S75" i="4"/>
  <c r="R75" i="4"/>
  <c r="Q75" i="4"/>
  <c r="P75" i="4"/>
  <c r="L75" i="4"/>
  <c r="K75" i="4"/>
  <c r="O75" i="4" s="1"/>
  <c r="K74" i="4"/>
  <c r="R73" i="4"/>
  <c r="Q73" i="4"/>
  <c r="P73" i="4"/>
  <c r="O73" i="4"/>
  <c r="N73" i="4"/>
  <c r="M73" i="4"/>
  <c r="L73" i="4"/>
  <c r="K73" i="4"/>
  <c r="T73" i="4" s="1"/>
  <c r="R72" i="4"/>
  <c r="Q72" i="4"/>
  <c r="K72" i="4"/>
  <c r="T71" i="4"/>
  <c r="S71" i="4"/>
  <c r="R71" i="4"/>
  <c r="Q71" i="4"/>
  <c r="P71" i="4"/>
  <c r="O71" i="4"/>
  <c r="N71" i="4"/>
  <c r="M71" i="4"/>
  <c r="L71" i="4"/>
  <c r="K71" i="4"/>
  <c r="Q70" i="4"/>
  <c r="P70" i="4"/>
  <c r="O70" i="4"/>
  <c r="N70" i="4"/>
  <c r="M70" i="4"/>
  <c r="K70" i="4"/>
  <c r="S70" i="4" s="1"/>
  <c r="K69" i="4"/>
  <c r="L69" i="4" s="1"/>
  <c r="T68" i="4"/>
  <c r="S68" i="4"/>
  <c r="R68" i="4"/>
  <c r="Q68" i="4"/>
  <c r="P68" i="4"/>
  <c r="O68" i="4"/>
  <c r="N68" i="4"/>
  <c r="M68" i="4"/>
  <c r="L68" i="4"/>
  <c r="K68" i="4"/>
  <c r="T67" i="4"/>
  <c r="R67" i="4"/>
  <c r="Q67" i="4"/>
  <c r="P67" i="4"/>
  <c r="O67" i="4"/>
  <c r="N67" i="4"/>
  <c r="L67" i="4"/>
  <c r="K67" i="4"/>
  <c r="S67" i="4" s="1"/>
  <c r="T66" i="4"/>
  <c r="S66" i="4"/>
  <c r="K66" i="4"/>
  <c r="T65" i="4"/>
  <c r="S65" i="4"/>
  <c r="R65" i="4"/>
  <c r="Q65" i="4"/>
  <c r="P65" i="4"/>
  <c r="O65" i="4"/>
  <c r="N65" i="4"/>
  <c r="K65" i="4"/>
  <c r="M65" i="4" s="1"/>
  <c r="S64" i="4"/>
  <c r="R64" i="4"/>
  <c r="Q64" i="4"/>
  <c r="P64" i="4"/>
  <c r="O64" i="4"/>
  <c r="K64" i="4"/>
  <c r="M64" i="4" s="1"/>
  <c r="T63" i="4"/>
  <c r="N63" i="4"/>
  <c r="M63" i="4"/>
  <c r="K63" i="4"/>
  <c r="J58" i="4"/>
  <c r="I58" i="4"/>
  <c r="H58" i="4"/>
  <c r="G58" i="4"/>
  <c r="F58" i="4"/>
  <c r="E58" i="4"/>
  <c r="D58" i="4"/>
  <c r="C58" i="4"/>
  <c r="B58" i="4"/>
  <c r="T57" i="4"/>
  <c r="S57" i="4"/>
  <c r="L57" i="4"/>
  <c r="K57" i="4"/>
  <c r="T56" i="4"/>
  <c r="S56" i="4"/>
  <c r="R56" i="4"/>
  <c r="Q56" i="4"/>
  <c r="P56" i="4"/>
  <c r="O56" i="4"/>
  <c r="N56" i="4"/>
  <c r="K56" i="4"/>
  <c r="M56" i="4" s="1"/>
  <c r="S55" i="4"/>
  <c r="R55" i="4"/>
  <c r="Q55" i="4"/>
  <c r="P55" i="4"/>
  <c r="O55" i="4"/>
  <c r="N55" i="4"/>
  <c r="K55" i="4"/>
  <c r="M55" i="4" s="1"/>
  <c r="K54" i="4"/>
  <c r="T54" i="4" s="1"/>
  <c r="T53" i="4"/>
  <c r="S53" i="4"/>
  <c r="R53" i="4"/>
  <c r="Q53" i="4"/>
  <c r="P53" i="4"/>
  <c r="O53" i="4"/>
  <c r="K53" i="4"/>
  <c r="N53" i="4" s="1"/>
  <c r="K52" i="4"/>
  <c r="M52" i="4" s="1"/>
  <c r="M51" i="4"/>
  <c r="L51" i="4"/>
  <c r="K51" i="4"/>
  <c r="T50" i="4"/>
  <c r="S50" i="4"/>
  <c r="R50" i="4"/>
  <c r="Q50" i="4"/>
  <c r="P50" i="4"/>
  <c r="L50" i="4"/>
  <c r="K50" i="4"/>
  <c r="O50" i="4" s="1"/>
  <c r="T49" i="4"/>
  <c r="P49" i="4"/>
  <c r="O49" i="4"/>
  <c r="M49" i="4"/>
  <c r="K49" i="4"/>
  <c r="N49" i="4" s="1"/>
  <c r="M48" i="4"/>
  <c r="L48" i="4"/>
  <c r="K48" i="4"/>
  <c r="S47" i="4"/>
  <c r="K47" i="4"/>
  <c r="T46" i="4"/>
  <c r="S46" i="4"/>
  <c r="R46" i="4"/>
  <c r="Q46" i="4"/>
  <c r="P46" i="4"/>
  <c r="O46" i="4"/>
  <c r="N46" i="4"/>
  <c r="M46" i="4"/>
  <c r="L46" i="4"/>
  <c r="K46" i="4"/>
  <c r="Q45" i="4"/>
  <c r="P45" i="4"/>
  <c r="K45" i="4"/>
  <c r="T44" i="4"/>
  <c r="R44" i="4"/>
  <c r="K44" i="4"/>
  <c r="T43" i="4"/>
  <c r="S43" i="4"/>
  <c r="R43" i="4"/>
  <c r="Q43" i="4"/>
  <c r="P43" i="4"/>
  <c r="O43" i="4"/>
  <c r="N43" i="4"/>
  <c r="M43" i="4"/>
  <c r="L43" i="4"/>
  <c r="K43" i="4"/>
  <c r="R42" i="4"/>
  <c r="Q42" i="4"/>
  <c r="P42" i="4"/>
  <c r="O42" i="4"/>
  <c r="N42" i="4"/>
  <c r="M42" i="4"/>
  <c r="L42" i="4"/>
  <c r="K42" i="4"/>
  <c r="T42" i="4" s="1"/>
  <c r="T41" i="4"/>
  <c r="S41" i="4"/>
  <c r="K41" i="4"/>
  <c r="T40" i="4"/>
  <c r="S40" i="4"/>
  <c r="R40" i="4"/>
  <c r="Q40" i="4"/>
  <c r="P40" i="4"/>
  <c r="O40" i="4"/>
  <c r="N40" i="4"/>
  <c r="K40" i="4"/>
  <c r="M40" i="4" s="1"/>
  <c r="S39" i="4"/>
  <c r="R39" i="4"/>
  <c r="Q39" i="4"/>
  <c r="P39" i="4"/>
  <c r="K39" i="4"/>
  <c r="T39" i="4" s="1"/>
  <c r="K38" i="4"/>
  <c r="L38" i="4" s="1"/>
  <c r="T37" i="4"/>
  <c r="S37" i="4"/>
  <c r="R37" i="4"/>
  <c r="Q37" i="4"/>
  <c r="P37" i="4"/>
  <c r="O37" i="4"/>
  <c r="K37" i="4"/>
  <c r="N37" i="4" s="1"/>
  <c r="K36" i="4"/>
  <c r="T36" i="4" s="1"/>
  <c r="O35" i="4"/>
  <c r="N35" i="4"/>
  <c r="K35" i="4"/>
  <c r="T34" i="4"/>
  <c r="S34" i="4"/>
  <c r="R34" i="4"/>
  <c r="Q34" i="4"/>
  <c r="P34" i="4"/>
  <c r="L34" i="4"/>
  <c r="K34" i="4"/>
  <c r="O34" i="4" s="1"/>
  <c r="T33" i="4"/>
  <c r="S33" i="4"/>
  <c r="R33" i="4"/>
  <c r="Q33" i="4"/>
  <c r="K33" i="4"/>
  <c r="J28" i="4"/>
  <c r="I28" i="4"/>
  <c r="H28" i="4"/>
  <c r="G28" i="4"/>
  <c r="F28" i="4"/>
  <c r="E28" i="4"/>
  <c r="D28" i="4"/>
  <c r="C28" i="4"/>
  <c r="B28" i="4"/>
  <c r="K27" i="4"/>
  <c r="T27" i="4" s="1"/>
  <c r="K26" i="4"/>
  <c r="N26" i="4" s="1"/>
  <c r="T25" i="4"/>
  <c r="S25" i="4"/>
  <c r="R25" i="4"/>
  <c r="Q25" i="4"/>
  <c r="P25" i="4"/>
  <c r="L25" i="4"/>
  <c r="K25" i="4"/>
  <c r="O25" i="4" s="1"/>
  <c r="T24" i="4"/>
  <c r="S24" i="4"/>
  <c r="N24" i="4"/>
  <c r="M24" i="4"/>
  <c r="K24" i="4"/>
  <c r="R24" i="4" s="1"/>
  <c r="L23" i="4"/>
  <c r="K23" i="4"/>
  <c r="T22" i="4"/>
  <c r="K22" i="4"/>
  <c r="R22" i="4" s="1"/>
  <c r="T21" i="4"/>
  <c r="S21" i="4"/>
  <c r="R21" i="4"/>
  <c r="Q21" i="4"/>
  <c r="P21" i="4"/>
  <c r="O21" i="4"/>
  <c r="N21" i="4"/>
  <c r="M21" i="4"/>
  <c r="L21" i="4"/>
  <c r="K21" i="4"/>
  <c r="Q20" i="4"/>
  <c r="K20" i="4"/>
  <c r="K19" i="4"/>
  <c r="L19" i="4" s="1"/>
  <c r="T18" i="4"/>
  <c r="S18" i="4"/>
  <c r="R18" i="4"/>
  <c r="Q18" i="4"/>
  <c r="P18" i="4"/>
  <c r="O18" i="4"/>
  <c r="N18" i="4"/>
  <c r="M18" i="4"/>
  <c r="L18" i="4"/>
  <c r="K18" i="4"/>
  <c r="K17" i="4"/>
  <c r="R17" i="4" s="1"/>
  <c r="K16" i="4"/>
  <c r="S16" i="4" s="1"/>
  <c r="T15" i="4"/>
  <c r="S15" i="4"/>
  <c r="R15" i="4"/>
  <c r="Q15" i="4"/>
  <c r="P15" i="4"/>
  <c r="O15" i="4"/>
  <c r="N15" i="4"/>
  <c r="M15" i="4"/>
  <c r="K15" i="4"/>
  <c r="L15" i="4" s="1"/>
  <c r="S14" i="4"/>
  <c r="N14" i="4"/>
  <c r="M14" i="4"/>
  <c r="K14" i="4"/>
  <c r="T14" i="4" s="1"/>
  <c r="K13" i="4"/>
  <c r="M13" i="4" s="1"/>
  <c r="T12" i="4"/>
  <c r="S12" i="4"/>
  <c r="R12" i="4"/>
  <c r="Q12" i="4"/>
  <c r="P12" i="4"/>
  <c r="O12" i="4"/>
  <c r="K12" i="4"/>
  <c r="N12" i="4" s="1"/>
  <c r="K11" i="4"/>
  <c r="M11" i="4" s="1"/>
  <c r="K10" i="4"/>
  <c r="M10" i="4" s="1"/>
  <c r="T9" i="4"/>
  <c r="S9" i="4"/>
  <c r="R9" i="4"/>
  <c r="Q9" i="4"/>
  <c r="P9" i="4"/>
  <c r="K9" i="4"/>
  <c r="O9" i="4" s="1"/>
  <c r="T8" i="4"/>
  <c r="S8" i="4"/>
  <c r="N8" i="4"/>
  <c r="M8" i="4"/>
  <c r="K8" i="4"/>
  <c r="R8" i="4" s="1"/>
  <c r="K7" i="4"/>
  <c r="P7" i="4" s="1"/>
  <c r="T6" i="4"/>
  <c r="K6" i="4"/>
  <c r="T5" i="4"/>
  <c r="S5" i="4"/>
  <c r="R5" i="4"/>
  <c r="Q5" i="4"/>
  <c r="P5" i="4"/>
  <c r="O5" i="4"/>
  <c r="N5" i="4"/>
  <c r="M5" i="4"/>
  <c r="L5" i="4"/>
  <c r="K5" i="4"/>
  <c r="Q4" i="4"/>
  <c r="K4" i="4"/>
  <c r="O4" i="4" s="1"/>
  <c r="K3" i="4"/>
  <c r="S3" i="4" s="1"/>
  <c r="I27" i="2"/>
  <c r="H27" i="2"/>
  <c r="G27" i="2"/>
  <c r="F27" i="2"/>
  <c r="E27" i="2"/>
  <c r="D27" i="2"/>
  <c r="C27" i="2"/>
  <c r="B27" i="2"/>
  <c r="N11" i="2"/>
  <c r="M11" i="2"/>
  <c r="T23" i="4" l="1"/>
  <c r="R23" i="4"/>
  <c r="S23" i="4"/>
  <c r="Q23" i="4"/>
  <c r="L27" i="4"/>
  <c r="T48" i="4"/>
  <c r="R48" i="4"/>
  <c r="S48" i="4"/>
  <c r="Q48" i="4"/>
  <c r="N52" i="4"/>
  <c r="L54" i="4"/>
  <c r="T76" i="4"/>
  <c r="S76" i="4"/>
  <c r="Q76" i="4"/>
  <c r="R76" i="4"/>
  <c r="O76" i="4"/>
  <c r="P76" i="4"/>
  <c r="N76" i="4"/>
  <c r="R82" i="4"/>
  <c r="Q82" i="4"/>
  <c r="P82" i="4"/>
  <c r="O82" i="4"/>
  <c r="N82" i="4"/>
  <c r="L82" i="4"/>
  <c r="L7" i="4"/>
  <c r="P52" i="4"/>
  <c r="N54" i="4"/>
  <c r="N13" i="4"/>
  <c r="O74" i="4"/>
  <c r="N74" i="4"/>
  <c r="M74" i="4"/>
  <c r="T74" i="4"/>
  <c r="P74" i="4"/>
  <c r="T117" i="4"/>
  <c r="S117" i="4"/>
  <c r="R117" i="4"/>
  <c r="Q117" i="4"/>
  <c r="P117" i="4"/>
  <c r="O117" i="4"/>
  <c r="N117" i="4"/>
  <c r="M117" i="4"/>
  <c r="L117" i="4"/>
  <c r="Q19" i="4"/>
  <c r="P19" i="4"/>
  <c r="O19" i="4"/>
  <c r="N19" i="4"/>
  <c r="M19" i="4"/>
  <c r="M23" i="4"/>
  <c r="N27" i="4"/>
  <c r="L36" i="4"/>
  <c r="N7" i="4"/>
  <c r="P11" i="4"/>
  <c r="O27" i="4"/>
  <c r="M36" i="4"/>
  <c r="Q52" i="4"/>
  <c r="R3" i="4"/>
  <c r="O7" i="4"/>
  <c r="Q11" i="4"/>
  <c r="T13" i="4"/>
  <c r="P17" i="4"/>
  <c r="R19" i="4"/>
  <c r="O23" i="4"/>
  <c r="P27" i="4"/>
  <c r="N36" i="4"/>
  <c r="Q44" i="4"/>
  <c r="P44" i="4"/>
  <c r="N44" i="4"/>
  <c r="O44" i="4"/>
  <c r="M44" i="4"/>
  <c r="O48" i="4"/>
  <c r="R52" i="4"/>
  <c r="L74" i="4"/>
  <c r="N77" i="4"/>
  <c r="M77" i="4"/>
  <c r="L77" i="4"/>
  <c r="T77" i="4"/>
  <c r="S77" i="4"/>
  <c r="O77" i="4"/>
  <c r="L13" i="4"/>
  <c r="O52" i="4"/>
  <c r="K28" i="4"/>
  <c r="L3" i="4"/>
  <c r="O17" i="4"/>
  <c r="N23" i="4"/>
  <c r="S38" i="4"/>
  <c r="R38" i="4"/>
  <c r="P38" i="4"/>
  <c r="Q38" i="4"/>
  <c r="O38" i="4"/>
  <c r="N48" i="4"/>
  <c r="T69" i="4"/>
  <c r="Q69" i="4"/>
  <c r="P69" i="4"/>
  <c r="O69" i="4"/>
  <c r="N69" i="4"/>
  <c r="M69" i="4"/>
  <c r="R11" i="4"/>
  <c r="Q17" i="4"/>
  <c r="S19" i="4"/>
  <c r="P23" i="4"/>
  <c r="Q27" i="4"/>
  <c r="O36" i="4"/>
  <c r="M38" i="4"/>
  <c r="L44" i="4"/>
  <c r="P48" i="4"/>
  <c r="S52" i="4"/>
  <c r="R57" i="4"/>
  <c r="Q57" i="4"/>
  <c r="P57" i="4"/>
  <c r="O57" i="4"/>
  <c r="N57" i="4"/>
  <c r="R69" i="4"/>
  <c r="Q74" i="4"/>
  <c r="P77" i="4"/>
  <c r="L52" i="4"/>
  <c r="R7" i="4"/>
  <c r="T7" i="4"/>
  <c r="S7" i="4"/>
  <c r="Q7" i="4"/>
  <c r="M27" i="4"/>
  <c r="Q3" i="4"/>
  <c r="N3" i="4"/>
  <c r="P3" i="4"/>
  <c r="O3" i="4"/>
  <c r="M3" i="4"/>
  <c r="O11" i="4"/>
  <c r="T19" i="4"/>
  <c r="R27" i="4"/>
  <c r="P36" i="4"/>
  <c r="N38" i="4"/>
  <c r="T52" i="4"/>
  <c r="K88" i="4"/>
  <c r="S63" i="4"/>
  <c r="R63" i="4"/>
  <c r="Q63" i="4"/>
  <c r="P63" i="4"/>
  <c r="O63" i="4"/>
  <c r="S69" i="4"/>
  <c r="R74" i="4"/>
  <c r="Q77" i="4"/>
  <c r="T17" i="4"/>
  <c r="S17" i="4"/>
  <c r="N17" i="4"/>
  <c r="T3" i="4"/>
  <c r="S11" i="4"/>
  <c r="L8" i="4"/>
  <c r="T11" i="4"/>
  <c r="L14" i="4"/>
  <c r="L24" i="4"/>
  <c r="S27" i="4"/>
  <c r="Q36" i="4"/>
  <c r="T38" i="4"/>
  <c r="S44" i="4"/>
  <c r="L49" i="4"/>
  <c r="M57" i="4"/>
  <c r="L63" i="4"/>
  <c r="S74" i="4"/>
  <c r="R77" i="4"/>
  <c r="T101" i="4"/>
  <c r="S101" i="4"/>
  <c r="R101" i="4"/>
  <c r="Q101" i="4"/>
  <c r="P101" i="4"/>
  <c r="O101" i="4"/>
  <c r="N101" i="4"/>
  <c r="M101" i="4"/>
  <c r="L101" i="4"/>
  <c r="S54" i="4"/>
  <c r="P54" i="4"/>
  <c r="R54" i="4"/>
  <c r="Q54" i="4"/>
  <c r="O54" i="4"/>
  <c r="M54" i="4"/>
  <c r="M7" i="4"/>
  <c r="S20" i="4"/>
  <c r="T20" i="4"/>
  <c r="R20" i="4"/>
  <c r="K58" i="4"/>
  <c r="R36" i="4"/>
  <c r="T51" i="4"/>
  <c r="S51" i="4"/>
  <c r="Q51" i="4"/>
  <c r="R51" i="4"/>
  <c r="P51" i="4"/>
  <c r="T72" i="4"/>
  <c r="S72" i="4"/>
  <c r="P72" i="4"/>
  <c r="O72" i="4"/>
  <c r="N72" i="4"/>
  <c r="M72" i="4"/>
  <c r="L72" i="4"/>
  <c r="N102" i="4"/>
  <c r="M102" i="4"/>
  <c r="L102" i="4"/>
  <c r="T102" i="4"/>
  <c r="S102" i="4"/>
  <c r="R102" i="4"/>
  <c r="Q102" i="4"/>
  <c r="O102" i="4"/>
  <c r="O115" i="4"/>
  <c r="N115" i="4"/>
  <c r="M115" i="4"/>
  <c r="T115" i="4"/>
  <c r="S115" i="4"/>
  <c r="R115" i="4"/>
  <c r="P115" i="4"/>
  <c r="S45" i="4"/>
  <c r="T45" i="4"/>
  <c r="R45" i="4"/>
  <c r="L16" i="4"/>
  <c r="L33" i="4"/>
  <c r="P6" i="4"/>
  <c r="M6" i="4"/>
  <c r="L6" i="4"/>
  <c r="O6" i="4"/>
  <c r="N6" i="4"/>
  <c r="O14" i="4"/>
  <c r="L26" i="4"/>
  <c r="N4" i="4"/>
  <c r="T35" i="4"/>
  <c r="S35" i="4"/>
  <c r="Q35" i="4"/>
  <c r="R35" i="4"/>
  <c r="P35" i="4"/>
  <c r="M39" i="4"/>
  <c r="M45" i="4"/>
  <c r="Q49" i="4"/>
  <c r="R66" i="4"/>
  <c r="Q66" i="4"/>
  <c r="P66" i="4"/>
  <c r="O66" i="4"/>
  <c r="N66" i="4"/>
  <c r="Q115" i="4"/>
  <c r="L11" i="4"/>
  <c r="S13" i="4"/>
  <c r="P13" i="4"/>
  <c r="R13" i="4"/>
  <c r="Q13" i="4"/>
  <c r="O13" i="4"/>
  <c r="N11" i="4"/>
  <c r="T10" i="4"/>
  <c r="Q10" i="4"/>
  <c r="S10" i="4"/>
  <c r="R10" i="4"/>
  <c r="P10" i="4"/>
  <c r="L4" i="4"/>
  <c r="L10" i="4"/>
  <c r="L20" i="4"/>
  <c r="S36" i="4"/>
  <c r="M4" i="4"/>
  <c r="O8" i="4"/>
  <c r="M20" i="4"/>
  <c r="O24" i="4"/>
  <c r="L45" i="4"/>
  <c r="Q6" i="4"/>
  <c r="P8" i="4"/>
  <c r="N10" i="4"/>
  <c r="Q22" i="4"/>
  <c r="P24" i="4"/>
  <c r="N33" i="4"/>
  <c r="R41" i="4"/>
  <c r="Q41" i="4"/>
  <c r="O41" i="4"/>
  <c r="P41" i="4"/>
  <c r="N41" i="4"/>
  <c r="T47" i="4"/>
  <c r="P47" i="4"/>
  <c r="O47" i="4"/>
  <c r="M47" i="4"/>
  <c r="N47" i="4"/>
  <c r="L47" i="4"/>
  <c r="N51" i="4"/>
  <c r="R6" i="4"/>
  <c r="Q8" i="4"/>
  <c r="O10" i="4"/>
  <c r="Q14" i="4"/>
  <c r="O20" i="4"/>
  <c r="Q24" i="4"/>
  <c r="O33" i="4"/>
  <c r="L35" i="4"/>
  <c r="N39" i="4"/>
  <c r="L41" i="4"/>
  <c r="N45" i="4"/>
  <c r="Q47" i="4"/>
  <c r="R49" i="4"/>
  <c r="O51" i="4"/>
  <c r="L66" i="4"/>
  <c r="L17" i="4"/>
  <c r="M17" i="4"/>
  <c r="T4" i="4"/>
  <c r="S4" i="4"/>
  <c r="R4" i="4"/>
  <c r="R16" i="4"/>
  <c r="Q16" i="4"/>
  <c r="O16" i="4"/>
  <c r="P16" i="4"/>
  <c r="N16" i="4"/>
  <c r="T26" i="4"/>
  <c r="Q26" i="4"/>
  <c r="S26" i="4"/>
  <c r="R26" i="4"/>
  <c r="P26" i="4"/>
  <c r="P22" i="4"/>
  <c r="O22" i="4"/>
  <c r="M22" i="4"/>
  <c r="N22" i="4"/>
  <c r="L22" i="4"/>
  <c r="M33" i="4"/>
  <c r="L39" i="4"/>
  <c r="P14" i="4"/>
  <c r="M16" i="4"/>
  <c r="N20" i="4"/>
  <c r="M26" i="4"/>
  <c r="P4" i="4"/>
  <c r="S6" i="4"/>
  <c r="R14" i="4"/>
  <c r="T16" i="4"/>
  <c r="P20" i="4"/>
  <c r="S22" i="4"/>
  <c r="O26" i="4"/>
  <c r="P33" i="4"/>
  <c r="M35" i="4"/>
  <c r="O39" i="4"/>
  <c r="M41" i="4"/>
  <c r="O45" i="4"/>
  <c r="R47" i="4"/>
  <c r="S49" i="4"/>
  <c r="M66" i="4"/>
  <c r="S79" i="4"/>
  <c r="R79" i="4"/>
  <c r="Q79" i="4"/>
  <c r="P79" i="4"/>
  <c r="O79" i="4"/>
  <c r="M79" i="4"/>
  <c r="O99" i="4"/>
  <c r="N99" i="4"/>
  <c r="M99" i="4"/>
  <c r="T99" i="4"/>
  <c r="S99" i="4"/>
  <c r="R99" i="4"/>
  <c r="P99" i="4"/>
  <c r="N64" i="4"/>
  <c r="M67" i="4"/>
  <c r="L70" i="4"/>
  <c r="T78" i="4"/>
  <c r="N80" i="4"/>
  <c r="M83" i="4"/>
  <c r="L86" i="4"/>
  <c r="L95" i="4"/>
  <c r="T103" i="4"/>
  <c r="N105" i="4"/>
  <c r="L111" i="4"/>
  <c r="M104" i="4"/>
  <c r="L107" i="4"/>
  <c r="M107" i="4"/>
  <c r="K118" i="4"/>
  <c r="S42" i="4"/>
  <c r="T55" i="4"/>
  <c r="T64" i="4"/>
  <c r="R70" i="4"/>
  <c r="T80" i="4"/>
  <c r="M85" i="4"/>
  <c r="R86" i="4"/>
  <c r="M94" i="4"/>
  <c r="R95" i="4"/>
  <c r="L97" i="4"/>
  <c r="Q98" i="4"/>
  <c r="O104" i="4"/>
  <c r="T105" i="4"/>
  <c r="N107" i="4"/>
  <c r="M110" i="4"/>
  <c r="R111" i="4"/>
  <c r="L113" i="4"/>
  <c r="Q114" i="4"/>
  <c r="N85" i="4"/>
  <c r="N94" i="4"/>
  <c r="S95" i="4"/>
  <c r="M97" i="4"/>
  <c r="P104" i="4"/>
  <c r="O107" i="4"/>
  <c r="N110" i="4"/>
  <c r="S111" i="4"/>
  <c r="M113" i="4"/>
  <c r="L9" i="4"/>
  <c r="M9" i="4"/>
  <c r="L12" i="4"/>
  <c r="M25" i="4"/>
  <c r="M34" i="4"/>
  <c r="L37" i="4"/>
  <c r="M50" i="4"/>
  <c r="L53" i="4"/>
  <c r="T70" i="4"/>
  <c r="S73" i="4"/>
  <c r="M75" i="4"/>
  <c r="L78" i="4"/>
  <c r="O85" i="4"/>
  <c r="O94" i="4"/>
  <c r="N97" i="4"/>
  <c r="S98" i="4"/>
  <c r="M100" i="4"/>
  <c r="L103" i="4"/>
  <c r="Q104" i="4"/>
  <c r="P107" i="4"/>
  <c r="O110" i="4"/>
  <c r="N113" i="4"/>
  <c r="S114" i="4"/>
  <c r="M116" i="4"/>
  <c r="N9" i="4"/>
  <c r="M12" i="4"/>
  <c r="N25" i="4"/>
  <c r="N34" i="4"/>
  <c r="M37" i="4"/>
  <c r="L40" i="4"/>
  <c r="N50" i="4"/>
  <c r="M53" i="4"/>
  <c r="L56" i="4"/>
  <c r="L65" i="4"/>
  <c r="N75" i="4"/>
  <c r="M78" i="4"/>
  <c r="L81" i="4"/>
  <c r="P85" i="4"/>
  <c r="P94" i="4"/>
  <c r="O97" i="4"/>
  <c r="N100" i="4"/>
  <c r="M103" i="4"/>
  <c r="R104" i="4"/>
  <c r="L106" i="4"/>
  <c r="Q107" i="4"/>
  <c r="P110" i="4"/>
  <c r="O113" i="4"/>
  <c r="N116" i="4"/>
  <c r="N78" i="4"/>
  <c r="Q85" i="4"/>
  <c r="Q94" i="4"/>
  <c r="P97" i="4"/>
  <c r="N103" i="4"/>
  <c r="Q110" i="4"/>
  <c r="P113" i="4"/>
  <c r="S97" i="4"/>
  <c r="S113" i="4"/>
  <c r="L55" i="4"/>
  <c r="L64" i="4"/>
  <c r="R78" i="4"/>
  <c r="L80" i="4"/>
  <c r="L88" i="4" l="1"/>
  <c r="U72" i="4"/>
  <c r="U85" i="4"/>
  <c r="U69" i="4"/>
  <c r="U82" i="4"/>
  <c r="U66" i="4"/>
  <c r="U73" i="4"/>
  <c r="U86" i="4"/>
  <c r="U70" i="4"/>
  <c r="U83" i="4"/>
  <c r="U67" i="4"/>
  <c r="U64" i="4"/>
  <c r="T88" i="4"/>
  <c r="U80" i="4"/>
  <c r="S88" i="4"/>
  <c r="U77" i="4"/>
  <c r="R88" i="4"/>
  <c r="Q88" i="4"/>
  <c r="U87" i="4"/>
  <c r="P88" i="4"/>
  <c r="U84" i="4"/>
  <c r="O88" i="4"/>
  <c r="U81" i="4"/>
  <c r="M88" i="4"/>
  <c r="U75" i="4"/>
  <c r="U65" i="4"/>
  <c r="U78" i="4"/>
  <c r="U63" i="4"/>
  <c r="U74" i="4"/>
  <c r="U71" i="4"/>
  <c r="N88" i="4"/>
  <c r="U76" i="4"/>
  <c r="U68" i="4"/>
  <c r="U79" i="4"/>
  <c r="U113" i="4"/>
  <c r="U97" i="4"/>
  <c r="T118" i="4"/>
  <c r="U110" i="4"/>
  <c r="U94" i="4"/>
  <c r="S118" i="4"/>
  <c r="U107" i="4"/>
  <c r="R118" i="4"/>
  <c r="Q118" i="4"/>
  <c r="P118" i="4"/>
  <c r="U114" i="4"/>
  <c r="U98" i="4"/>
  <c r="O118" i="4"/>
  <c r="U111" i="4"/>
  <c r="U95" i="4"/>
  <c r="N118" i="4"/>
  <c r="U108" i="4"/>
  <c r="M118" i="4"/>
  <c r="U105" i="4"/>
  <c r="L118" i="4"/>
  <c r="U102" i="4"/>
  <c r="U115" i="4"/>
  <c r="U99" i="4"/>
  <c r="U112" i="4"/>
  <c r="U96" i="4"/>
  <c r="U109" i="4"/>
  <c r="U93" i="4"/>
  <c r="U118" i="4" s="1"/>
  <c r="U106" i="4"/>
  <c r="U116" i="4"/>
  <c r="U100" i="4"/>
  <c r="U101" i="4"/>
  <c r="U104" i="4"/>
  <c r="U117" i="4"/>
  <c r="U103" i="4"/>
  <c r="S58" i="4"/>
  <c r="R58" i="4"/>
  <c r="U44" i="4"/>
  <c r="Q58" i="4"/>
  <c r="U57" i="4"/>
  <c r="N58" i="4"/>
  <c r="U48" i="4"/>
  <c r="U39" i="4"/>
  <c r="M58" i="4"/>
  <c r="U45" i="4"/>
  <c r="U55" i="4"/>
  <c r="L58" i="4"/>
  <c r="U42" i="4"/>
  <c r="U52" i="4"/>
  <c r="U36" i="4"/>
  <c r="T58" i="4"/>
  <c r="U51" i="4"/>
  <c r="U46" i="4"/>
  <c r="U40" i="4"/>
  <c r="U34" i="4"/>
  <c r="U38" i="4"/>
  <c r="U50" i="4"/>
  <c r="U49" i="4"/>
  <c r="U37" i="4"/>
  <c r="U47" i="4"/>
  <c r="U53" i="4"/>
  <c r="P58" i="4"/>
  <c r="U56" i="4"/>
  <c r="U54" i="4"/>
  <c r="O58" i="4"/>
  <c r="U33" i="4"/>
  <c r="U43" i="4"/>
  <c r="U41" i="4"/>
  <c r="U35" i="4"/>
  <c r="U23" i="4"/>
  <c r="U7" i="4"/>
  <c r="R28" i="4"/>
  <c r="T28" i="4"/>
  <c r="U20" i="4"/>
  <c r="U4" i="4"/>
  <c r="U14" i="4"/>
  <c r="S28" i="4"/>
  <c r="U17" i="4"/>
  <c r="Q28" i="4"/>
  <c r="U27" i="4"/>
  <c r="U11" i="4"/>
  <c r="U10" i="4"/>
  <c r="U12" i="4"/>
  <c r="U21" i="4"/>
  <c r="U5" i="4"/>
  <c r="U15" i="4"/>
  <c r="U25" i="4"/>
  <c r="U8" i="4"/>
  <c r="P28" i="4"/>
  <c r="U19" i="4"/>
  <c r="U9" i="4"/>
  <c r="U3" i="4"/>
  <c r="U28" i="4" s="1"/>
  <c r="O28" i="4"/>
  <c r="U6" i="4"/>
  <c r="N28" i="4"/>
  <c r="U13" i="4"/>
  <c r="M28" i="4"/>
  <c r="L28" i="4"/>
  <c r="U18" i="4"/>
  <c r="U22" i="4"/>
  <c r="U16" i="4"/>
  <c r="U24" i="4"/>
  <c r="U26" i="4"/>
  <c r="U88" i="4" l="1"/>
  <c r="U58" i="4"/>
</calcChain>
</file>

<file path=xl/sharedStrings.xml><?xml version="1.0" encoding="utf-8"?>
<sst xmlns="http://schemas.openxmlformats.org/spreadsheetml/2006/main" count="387" uniqueCount="216">
  <si>
    <t>Date</t>
  </si>
  <si>
    <t>MAT_PE-natural_Count</t>
  </si>
  <si>
    <t>MAT_PE-white_Count</t>
  </si>
  <si>
    <t>MAT_PE-red_Count</t>
  </si>
  <si>
    <t>MAT_PE-yellow_Count</t>
  </si>
  <si>
    <t>MAT_PE-green_Count</t>
  </si>
  <si>
    <t>MAT_PE-blue_Count</t>
  </si>
  <si>
    <t>MAT_PE-coloured_Count</t>
  </si>
  <si>
    <t>MAT_PP-clear_Count</t>
  </si>
  <si>
    <t>MAT_PP-white_Count</t>
  </si>
  <si>
    <t>MAT_PP-red_Count</t>
  </si>
  <si>
    <t>MAT_PP-yellow_Count</t>
  </si>
  <si>
    <t>MAT_PP-green_Count</t>
  </si>
  <si>
    <t>MAT_PP-blue_Count</t>
  </si>
  <si>
    <t>MAT_PP-coloured_Count</t>
  </si>
  <si>
    <t>MAT_PET_Count</t>
  </si>
  <si>
    <t>MAT_PS_Count</t>
  </si>
  <si>
    <t>MAT_PVC_Count</t>
  </si>
  <si>
    <t>MAT_ABS_Count</t>
  </si>
  <si>
    <t>MAT_PA_Count</t>
  </si>
  <si>
    <t>MAT_PC_Count</t>
  </si>
  <si>
    <t>MAT_Cell_Count</t>
  </si>
  <si>
    <t>MAT_Other Plastics_Count</t>
  </si>
  <si>
    <t>MAT_Metal_Count</t>
  </si>
  <si>
    <t>MAT_NI_Count</t>
  </si>
  <si>
    <t>MAT_Black_Count</t>
  </si>
  <si>
    <t>MAT_PE-natural_Size</t>
  </si>
  <si>
    <t>MAT_PE-white_Size</t>
  </si>
  <si>
    <t>MAT_PE-red_Size</t>
  </si>
  <si>
    <t>MAT_PE-yellow_Size</t>
  </si>
  <si>
    <t>MAT_PE-green_Size</t>
  </si>
  <si>
    <t>MAT_PE-blue_Size</t>
  </si>
  <si>
    <t>MAT_PE-coloured_Size</t>
  </si>
  <si>
    <t>MAT_PP-clear_Size</t>
  </si>
  <si>
    <t>MAT_PP-white_Size</t>
  </si>
  <si>
    <t>MAT_PP-red_Size</t>
  </si>
  <si>
    <t>MAT_PP-yellow_Size</t>
  </si>
  <si>
    <t>MAT_PP-green_Size</t>
  </si>
  <si>
    <t>MAT_PP-blue_Size</t>
  </si>
  <si>
    <t>MAT_PP-coloured_Size</t>
  </si>
  <si>
    <t>MAT_PET_Size</t>
  </si>
  <si>
    <t>MAT_PS_Size</t>
  </si>
  <si>
    <t>MAT_PVC_Size</t>
  </si>
  <si>
    <t>MAT_ABS_Size</t>
  </si>
  <si>
    <t>MAT_PA_Size</t>
  </si>
  <si>
    <t>MAT_PC_Size</t>
  </si>
  <si>
    <t>MAT_Cell_Size</t>
  </si>
  <si>
    <t>MAT_Other Plastics_Size</t>
  </si>
  <si>
    <t>MAT_Metal_Size</t>
  </si>
  <si>
    <t>MAT_NI_Size</t>
  </si>
  <si>
    <t>MAT_Black_Size</t>
  </si>
  <si>
    <t>MAT_PE-natural_Volume</t>
  </si>
  <si>
    <t>MAT_PE-white_Volume</t>
  </si>
  <si>
    <t>MAT_PE-red_Volume</t>
  </si>
  <si>
    <t>MAT_PE-yellow_Volume</t>
  </si>
  <si>
    <t>MAT_PE-green_Volume</t>
  </si>
  <si>
    <t>MAT_PE-blue_Volume</t>
  </si>
  <si>
    <t>MAT_PE-coloured_Volume</t>
  </si>
  <si>
    <t>MAT_PP-clear_Volume</t>
  </si>
  <si>
    <t>MAT_PP-white_Volume</t>
  </si>
  <si>
    <t>MAT_PP-red_Volume</t>
  </si>
  <si>
    <t>MAT_PP-yellow_Volume</t>
  </si>
  <si>
    <t>MAT_PP-green_Volume</t>
  </si>
  <si>
    <t>MAT_PP-blue_Volume</t>
  </si>
  <si>
    <t>MAT_PP-coloured_Volume</t>
  </si>
  <si>
    <t>MAT_PET_Volume</t>
  </si>
  <si>
    <t>MAT_PS_Volume</t>
  </si>
  <si>
    <t>MAT_PVC_Volume</t>
  </si>
  <si>
    <t>MAT_ABS_Volume</t>
  </si>
  <si>
    <t>MAT_PA_Volume</t>
  </si>
  <si>
    <t>MAT_PC_Volume</t>
  </si>
  <si>
    <t>MAT_Cell_Volume</t>
  </si>
  <si>
    <t>MAT_Other Plastics_Volume</t>
  </si>
  <si>
    <t>MAT_Metal_Volume</t>
  </si>
  <si>
    <t>MAT_NI_Volume</t>
  </si>
  <si>
    <t>MAT_Black_Volume</t>
  </si>
  <si>
    <t>MAT_PE-natural_Weight</t>
  </si>
  <si>
    <t>MAT_PE-white_Weight</t>
  </si>
  <si>
    <t>MAT_PE-red_Weight</t>
  </si>
  <si>
    <t>MAT_PE-yellow_Weight</t>
  </si>
  <si>
    <t>MAT_PE-green_Weight</t>
  </si>
  <si>
    <t>MAT_PE-blue_Weight</t>
  </si>
  <si>
    <t>MAT_PE-coloured_Weight</t>
  </si>
  <si>
    <t>MAT_PP-clear_Weight</t>
  </si>
  <si>
    <t>MAT_PP-white_Weight</t>
  </si>
  <si>
    <t>MAT_PP-red_Weight</t>
  </si>
  <si>
    <t>MAT_PP-yellow_Weight</t>
  </si>
  <si>
    <t>MAT_PP-green_Weight</t>
  </si>
  <si>
    <t>MAT_PP-blue_Weight</t>
  </si>
  <si>
    <t>MAT_PP-coloured_Weight</t>
  </si>
  <si>
    <t>MAT_PET_Weight</t>
  </si>
  <si>
    <t>MAT_PS_Weight</t>
  </si>
  <si>
    <t>MAT_PVC_Weight</t>
  </si>
  <si>
    <t>MAT_ABS_Weight</t>
  </si>
  <si>
    <t>MAT_PA_Weight</t>
  </si>
  <si>
    <t>MAT_PC_Weight</t>
  </si>
  <si>
    <t>MAT_Cell_Weight</t>
  </si>
  <si>
    <t>MAT_Other Plastics_Weight</t>
  </si>
  <si>
    <t>MAT_Metal_Weight</t>
  </si>
  <si>
    <t>MAT_NI_Weight</t>
  </si>
  <si>
    <t>MAT_Black_Weight</t>
  </si>
  <si>
    <t>BLT_0</t>
  </si>
  <si>
    <t>BLT_1</t>
  </si>
  <si>
    <t>BLT_2</t>
  </si>
  <si>
    <t>BLT_3</t>
  </si>
  <si>
    <t>BLT_4</t>
  </si>
  <si>
    <t>BLT_5</t>
  </si>
  <si>
    <t>BLT_6</t>
  </si>
  <si>
    <t>BLT_7</t>
  </si>
  <si>
    <t>BLT_8</t>
  </si>
  <si>
    <t>BLT_9</t>
  </si>
  <si>
    <t>BLT_10</t>
  </si>
  <si>
    <t>BLT_11</t>
  </si>
  <si>
    <t>BLT_12</t>
  </si>
  <si>
    <t>BLT_13</t>
  </si>
  <si>
    <t>BLT_14</t>
  </si>
  <si>
    <t>BLT_15</t>
  </si>
  <si>
    <t>BLT_16</t>
  </si>
  <si>
    <t>BLT_17</t>
  </si>
  <si>
    <t>BLT_18</t>
  </si>
  <si>
    <t>BLT_19</t>
  </si>
  <si>
    <t>GRA_0</t>
  </si>
  <si>
    <t>GRA_1</t>
  </si>
  <si>
    <t>GRA_2</t>
  </si>
  <si>
    <t>GRA_3</t>
  </si>
  <si>
    <t>GRA_4</t>
  </si>
  <si>
    <t>GRA_5</t>
  </si>
  <si>
    <t>GRA_6</t>
  </si>
  <si>
    <t>GRA_7</t>
  </si>
  <si>
    <t>GRA_8</t>
  </si>
  <si>
    <t>12.10.2025 11:09:05</t>
  </si>
  <si>
    <t>12.10.2025 11:09:06</t>
  </si>
  <si>
    <t>12.10.2025 11:09:22</t>
  </si>
  <si>
    <t>12.10.2025 11:09:37</t>
  </si>
  <si>
    <t>12.10.2025 11:09:51</t>
  </si>
  <si>
    <t>12.10.2025 11:10:06</t>
  </si>
  <si>
    <t>12.10.2025 11:10:22</t>
  </si>
  <si>
    <t>12.10.2025 11:10:37</t>
  </si>
  <si>
    <t>12.10.2025 11:10:51</t>
  </si>
  <si>
    <t>12.10.2025 11:11:06</t>
  </si>
  <si>
    <t>12.10.2025 11:11:22</t>
  </si>
  <si>
    <t>12.10.2025 11:11:37</t>
  </si>
  <si>
    <t>12.10.2025 11:11:51</t>
  </si>
  <si>
    <t>12.10.2025 11:12:06</t>
  </si>
  <si>
    <t>12.10.2025 11:12:23</t>
  </si>
  <si>
    <t>12.10.2025 11:12:24</t>
  </si>
  <si>
    <t>Material</t>
  </si>
  <si>
    <t>Objektanzahl</t>
  </si>
  <si>
    <t>Anzahl Objekte [%]</t>
  </si>
  <si>
    <t>Fläche [mm²]</t>
  </si>
  <si>
    <t>Fläche [%]</t>
  </si>
  <si>
    <t>Volumen [mm³]</t>
  </si>
  <si>
    <t>Volumenverteilung [%]</t>
  </si>
  <si>
    <t>Gewicht [g]</t>
  </si>
  <si>
    <t>Gewichtsverteilung [%]</t>
  </si>
  <si>
    <t>Korngröße</t>
  </si>
  <si>
    <t>PE-natural</t>
  </si>
  <si>
    <t>0 - 1</t>
  </si>
  <si>
    <t>PE-white</t>
  </si>
  <si>
    <t>1 - 2,5</t>
  </si>
  <si>
    <t>PE-red</t>
  </si>
  <si>
    <t>2,5 - 5</t>
  </si>
  <si>
    <t>PE-yellow</t>
  </si>
  <si>
    <t>5 - 7,5</t>
  </si>
  <si>
    <t>PE-green</t>
  </si>
  <si>
    <t>7,5 - 10</t>
  </si>
  <si>
    <t>PE-blue</t>
  </si>
  <si>
    <t>10 - 15</t>
  </si>
  <si>
    <t>PE-coloured</t>
  </si>
  <si>
    <t>15 - 20</t>
  </si>
  <si>
    <t>PP-clear</t>
  </si>
  <si>
    <t>20 - 30</t>
  </si>
  <si>
    <t>PP-white</t>
  </si>
  <si>
    <t>&gt; 30</t>
  </si>
  <si>
    <t>PP-red</t>
  </si>
  <si>
    <t>Summe</t>
  </si>
  <si>
    <t>PP-yellow</t>
  </si>
  <si>
    <t>PP-green</t>
  </si>
  <si>
    <t>PP-blue</t>
  </si>
  <si>
    <t>PP-coloured</t>
  </si>
  <si>
    <t>PET</t>
  </si>
  <si>
    <t>PS</t>
  </si>
  <si>
    <t>PVC</t>
  </si>
  <si>
    <t>ABS</t>
  </si>
  <si>
    <t>PA</t>
  </si>
  <si>
    <t>PC</t>
  </si>
  <si>
    <t>Cell</t>
  </si>
  <si>
    <t>Other Plastics</t>
  </si>
  <si>
    <t>Metal</t>
  </si>
  <si>
    <t>NI</t>
  </si>
  <si>
    <t>Black</t>
  </si>
  <si>
    <t>Bandbelegung</t>
  </si>
  <si>
    <t>Objektanzahl - Korngrößenverteilung</t>
  </si>
  <si>
    <t>0 - 1 [mm]</t>
  </si>
  <si>
    <t>1 - 2,5 [mm]</t>
  </si>
  <si>
    <t>2,5 - 5 [mm]</t>
  </si>
  <si>
    <t>5 - 7,5 [mm]</t>
  </si>
  <si>
    <t>7,5 - 10 [mm]</t>
  </si>
  <si>
    <t>10 - 15 [mm]</t>
  </si>
  <si>
    <t>15 - 20 [mm]</t>
  </si>
  <si>
    <t>20 - 30 [mm]</t>
  </si>
  <si>
    <t>&gt; 30 [mm]</t>
  </si>
  <si>
    <t>Summe [mm]</t>
  </si>
  <si>
    <t>0 - 1 [%]</t>
  </si>
  <si>
    <t>1 - 2,5 [%]</t>
  </si>
  <si>
    <t>2,5 - 5 [%]</t>
  </si>
  <si>
    <t>5 - 7,5 [%]</t>
  </si>
  <si>
    <t>7,5 - 10 [%]</t>
  </si>
  <si>
    <t>10 - 15 [%]</t>
  </si>
  <si>
    <t>15 - 20 [%]</t>
  </si>
  <si>
    <t>20 - 30 [%]</t>
  </si>
  <si>
    <t>&gt; 30 [%]</t>
  </si>
  <si>
    <t>Summe [%]</t>
  </si>
  <si>
    <t>Fläche - Korngrößenverteilung</t>
  </si>
  <si>
    <t>Volumen - Korngrößenverteilung</t>
  </si>
  <si>
    <t>Gewicht - Korngrößenverteilung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</si>
</sst>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8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Objektanzahl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Zusammenfassung!$C$2:$C$26</c:f>
              <c:numCache>
                <c:formatCode>#,##0.00</c:formatCode>
                <c:ptCount val="25"/>
                <c:pt idx="0">
                  <c:v>0.14780972856758937</c:v>
                </c:pt>
                <c:pt idx="1">
                  <c:v>0</c:v>
                </c:pt>
                <c:pt idx="2">
                  <c:v>0.17468422467078742</c:v>
                </c:pt>
                <c:pt idx="3">
                  <c:v>98.898145659768886</c:v>
                </c:pt>
                <c:pt idx="4">
                  <c:v>5.3748992206396132E-2</c:v>
                </c:pt>
                <c:pt idx="5">
                  <c:v>0.30905670518677775</c:v>
                </c:pt>
                <c:pt idx="6">
                  <c:v>0</c:v>
                </c:pt>
                <c:pt idx="7">
                  <c:v>4.0311744154797095E-2</c:v>
                </c:pt>
                <c:pt idx="8">
                  <c:v>0</c:v>
                </c:pt>
                <c:pt idx="9">
                  <c:v>0</c:v>
                </c:pt>
                <c:pt idx="10">
                  <c:v>0.17468422467078742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0.10749798441279226</c:v>
                </c:pt>
                <c:pt idx="15">
                  <c:v>0</c:v>
                </c:pt>
                <c:pt idx="16">
                  <c:v>4.0311744154797095E-2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2.6874496103198066E-2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2.6874496103198066E-2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D-4742-89C1-3A4CF2060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Volumen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Zusammenfassung!$G$2:$G$26</c:f>
              <c:numCache>
                <c:formatCode>#,##0.00</c:formatCode>
                <c:ptCount val="25"/>
                <c:pt idx="0">
                  <c:v>9.5119893326906499E-2</c:v>
                </c:pt>
                <c:pt idx="1">
                  <c:v>0</c:v>
                </c:pt>
                <c:pt idx="2">
                  <c:v>0.1204376497996828</c:v>
                </c:pt>
                <c:pt idx="3">
                  <c:v>99.354310274410423</c:v>
                </c:pt>
                <c:pt idx="4">
                  <c:v>4.1477120590088602E-2</c:v>
                </c:pt>
                <c:pt idx="5">
                  <c:v>0.19514011204819343</c:v>
                </c:pt>
                <c:pt idx="6">
                  <c:v>0</c:v>
                </c:pt>
                <c:pt idx="7">
                  <c:v>1.9232269107560974E-3</c:v>
                </c:pt>
                <c:pt idx="8">
                  <c:v>0</c:v>
                </c:pt>
                <c:pt idx="9">
                  <c:v>0</c:v>
                </c:pt>
                <c:pt idx="10">
                  <c:v>0.1042179630670885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6.5939715281513947E-2</c:v>
                </c:pt>
                <c:pt idx="15">
                  <c:v>0</c:v>
                </c:pt>
                <c:pt idx="16">
                  <c:v>1.3595652967826544E-2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1.9516140238299884E-4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7.6432301951450806E-3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F-4CCD-B75B-4E880788A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Fläche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Zusammenfassung!$E$2:$E$26</c:f>
              <c:numCache>
                <c:formatCode>#,##0.00</c:formatCode>
                <c:ptCount val="25"/>
                <c:pt idx="0">
                  <c:v>8.8755472332120874E-2</c:v>
                </c:pt>
                <c:pt idx="1">
                  <c:v>0</c:v>
                </c:pt>
                <c:pt idx="2">
                  <c:v>0.14615373613583663</c:v>
                </c:pt>
                <c:pt idx="3">
                  <c:v>99.296054955531858</c:v>
                </c:pt>
                <c:pt idx="4">
                  <c:v>4.099104970279465E-2</c:v>
                </c:pt>
                <c:pt idx="5">
                  <c:v>0.2365553269879512</c:v>
                </c:pt>
                <c:pt idx="6">
                  <c:v>0</c:v>
                </c:pt>
                <c:pt idx="7">
                  <c:v>7.9337515553796097E-3</c:v>
                </c:pt>
                <c:pt idx="8">
                  <c:v>0</c:v>
                </c:pt>
                <c:pt idx="9">
                  <c:v>0</c:v>
                </c:pt>
                <c:pt idx="10">
                  <c:v>0.10661990610647903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3.9506844479849486E-2</c:v>
                </c:pt>
                <c:pt idx="15">
                  <c:v>0</c:v>
                </c:pt>
                <c:pt idx="16">
                  <c:v>2.5555315384164931E-2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3.6430491835926777E-3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8.2305925999686426E-3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9-4ED3-B3DF-0B2C30B2B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Gewicht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Zusammenfassung!$I$2:$I$26</c:f>
              <c:numCache>
                <c:formatCode>#,##0.00</c:formatCode>
                <c:ptCount val="25"/>
                <c:pt idx="0">
                  <c:v>9.5086702748393634E-2</c:v>
                </c:pt>
                <c:pt idx="1">
                  <c:v>0</c:v>
                </c:pt>
                <c:pt idx="2">
                  <c:v>0.12039422604318296</c:v>
                </c:pt>
                <c:pt idx="3">
                  <c:v>99.320121396111887</c:v>
                </c:pt>
                <c:pt idx="4">
                  <c:v>4.1462225035636756E-2</c:v>
                </c:pt>
                <c:pt idx="5">
                  <c:v>0.19507340087415007</c:v>
                </c:pt>
                <c:pt idx="6">
                  <c:v>0</c:v>
                </c:pt>
                <c:pt idx="7">
                  <c:v>1.8603756034192419E-3</c:v>
                </c:pt>
                <c:pt idx="8">
                  <c:v>0</c:v>
                </c:pt>
                <c:pt idx="9">
                  <c:v>0</c:v>
                </c:pt>
                <c:pt idx="10">
                  <c:v>0.10085839541660808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9.6771606819238826E-2</c:v>
                </c:pt>
                <c:pt idx="15">
                  <c:v>0</c:v>
                </c:pt>
                <c:pt idx="16">
                  <c:v>2.0098094247080898E-2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1.4528288180860207E-4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8.1282942185903571E-3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E-44D8-8E1D-0685404BF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Korngrößenverteilung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Zusammenfassung!$L$2:$L$10</c:f>
              <c:strCache>
                <c:ptCount val="9"/>
                <c:pt idx="0">
                  <c:v>0 - 1</c:v>
                </c:pt>
                <c:pt idx="1">
                  <c:v>1 - 2,5</c:v>
                </c:pt>
                <c:pt idx="2">
                  <c:v>2,5 - 5</c:v>
                </c:pt>
                <c:pt idx="3">
                  <c:v>5 - 7,5</c:v>
                </c:pt>
                <c:pt idx="4">
                  <c:v>7,5 - 10</c:v>
                </c:pt>
                <c:pt idx="5">
                  <c:v>10 - 15</c:v>
                </c:pt>
                <c:pt idx="6">
                  <c:v>15 - 20</c:v>
                </c:pt>
                <c:pt idx="7">
                  <c:v>20 - 30</c:v>
                </c:pt>
                <c:pt idx="8">
                  <c:v>&gt; 30</c:v>
                </c:pt>
              </c:strCache>
            </c:strRef>
          </c:cat>
          <c:val>
            <c:numRef>
              <c:f>Zusammenfassung!$N$2:$N$10</c:f>
              <c:numCache>
                <c:formatCode>#,##0.00</c:formatCode>
                <c:ptCount val="9"/>
                <c:pt idx="0">
                  <c:v>8.2954786996151865E-4</c:v>
                </c:pt>
                <c:pt idx="1">
                  <c:v>1.1238450048714899</c:v>
                </c:pt>
                <c:pt idx="2">
                  <c:v>22.962612397725163</c:v>
                </c:pt>
                <c:pt idx="3">
                  <c:v>64.77581649150784</c:v>
                </c:pt>
                <c:pt idx="4">
                  <c:v>11.136896558025551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C-41E6-A0AE-5E91FCFDE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47625</xdr:rowOff>
    </xdr:from>
    <xdr:to>
      <xdr:col>12</xdr:col>
      <xdr:colOff>542925</xdr:colOff>
      <xdr:row>26</xdr:row>
      <xdr:rowOff>47625</xdr:rowOff>
    </xdr:to>
    <xdr:graphicFrame macro="">
      <xdr:nvGraphicFramePr>
        <xdr:cNvPr id="2" name="ObjectCount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1</xdr:row>
      <xdr:rowOff>47625</xdr:rowOff>
    </xdr:from>
    <xdr:to>
      <xdr:col>25</xdr:col>
      <xdr:colOff>476250</xdr:colOff>
      <xdr:row>26</xdr:row>
      <xdr:rowOff>47625</xdr:rowOff>
    </xdr:to>
    <xdr:graphicFrame macro="">
      <xdr:nvGraphicFramePr>
        <xdr:cNvPr id="3" name="Volume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27</xdr:row>
      <xdr:rowOff>95250</xdr:rowOff>
    </xdr:from>
    <xdr:to>
      <xdr:col>12</xdr:col>
      <xdr:colOff>542925</xdr:colOff>
      <xdr:row>52</xdr:row>
      <xdr:rowOff>95250</xdr:rowOff>
    </xdr:to>
    <xdr:graphicFrame macro="">
      <xdr:nvGraphicFramePr>
        <xdr:cNvPr id="4" name="Area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27</xdr:row>
      <xdr:rowOff>95250</xdr:rowOff>
    </xdr:from>
    <xdr:to>
      <xdr:col>25</xdr:col>
      <xdr:colOff>476250</xdr:colOff>
      <xdr:row>52</xdr:row>
      <xdr:rowOff>95250</xdr:rowOff>
    </xdr:to>
    <xdr:graphicFrame macro="">
      <xdr:nvGraphicFramePr>
        <xdr:cNvPr id="5" name="Weights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238125</xdr:colOff>
      <xdr:row>53</xdr:row>
      <xdr:rowOff>142875</xdr:rowOff>
    </xdr:from>
    <xdr:to>
      <xdr:col>12</xdr:col>
      <xdr:colOff>542925</xdr:colOff>
      <xdr:row>78</xdr:row>
      <xdr:rowOff>142875</xdr:rowOff>
    </xdr:to>
    <xdr:graphicFrame macro="">
      <xdr:nvGraphicFramePr>
        <xdr:cNvPr id="6" name="GrainsizeDistibutio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Statistik" displayName="TabelleStatistik" ref="A1:I27" totalsRowCount="1">
  <autoFilter ref="A1:I26" xr:uid="{00000000-0009-0000-0100-000002000000}"/>
  <tableColumns count="9">
    <tableColumn id="1" xr3:uid="{00000000-0010-0000-0000-000001000000}" name="Material" totalsRowLabel="Summe"/>
    <tableColumn id="2" xr3:uid="{00000000-0010-0000-0000-000002000000}" name="Objektanzahl" totalsRowFunction="sum"/>
    <tableColumn id="3" xr3:uid="{00000000-0010-0000-0000-000003000000}" name="Anzahl Objekte [%]" totalsRowFunction="sum"/>
    <tableColumn id="4" xr3:uid="{00000000-0010-0000-0000-000004000000}" name="Fläche [mm²]" totalsRowFunction="sum"/>
    <tableColumn id="5" xr3:uid="{00000000-0010-0000-0000-000005000000}" name="Fläche [%]" totalsRowFunction="sum"/>
    <tableColumn id="6" xr3:uid="{00000000-0010-0000-0000-000006000000}" name="Volumen [mm³]" totalsRowFunction="sum"/>
    <tableColumn id="7" xr3:uid="{00000000-0010-0000-0000-000007000000}" name="Volumenverteilung [%]" totalsRowFunction="sum"/>
    <tableColumn id="8" xr3:uid="{00000000-0010-0000-0000-000008000000}" name="Gewicht [g]" totalsRowFunction="sum"/>
    <tableColumn id="9" xr3:uid="{00000000-0010-0000-0000-000009000000}" name="Gewichtsverteilung [%]" totalsRowFunction="sum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eKorngroesse" displayName="TabelleKorngroesse" ref="L1:N11" totalsRowCount="1">
  <autoFilter ref="L1:N10" xr:uid="{00000000-0009-0000-0100-000003000000}"/>
  <tableColumns count="3">
    <tableColumn id="1" xr3:uid="{00000000-0010-0000-0100-000001000000}" name="Korngröße" totalsRowLabel="Summe"/>
    <tableColumn id="2" xr3:uid="{00000000-0010-0000-0100-000002000000}" name="Fläche [mm²]" totalsRowFunction="sum"/>
    <tableColumn id="3" xr3:uid="{00000000-0010-0000-0100-000003000000}" name="Fläche [%]" totalsRowFunction="su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leAnzahlObjekte" displayName="TabelleAnzahlObjekte" ref="A2:U28" totalsRowCount="1">
  <autoFilter ref="A2:U27" xr:uid="{00000000-0009-0000-0100-000004000000}"/>
  <tableColumns count="21">
    <tableColumn id="1" xr3:uid="{00000000-0010-0000-0200-000001000000}" name="Material" totalsRowLabel="Summe"/>
    <tableColumn id="2" xr3:uid="{00000000-0010-0000-0200-000002000000}" name="0 - 1 [mm]" totalsRowFunction="sum" totalsRowDxfId="79"/>
    <tableColumn id="3" xr3:uid="{00000000-0010-0000-0200-000003000000}" name="1 - 2,5 [mm]" totalsRowFunction="sum" totalsRowDxfId="78"/>
    <tableColumn id="4" xr3:uid="{00000000-0010-0000-0200-000004000000}" name="2,5 - 5 [mm]" totalsRowFunction="sum" totalsRowDxfId="77"/>
    <tableColumn id="5" xr3:uid="{00000000-0010-0000-0200-000005000000}" name="5 - 7,5 [mm]" totalsRowFunction="sum" totalsRowDxfId="76"/>
    <tableColumn id="6" xr3:uid="{00000000-0010-0000-0200-000006000000}" name="7,5 - 10 [mm]" totalsRowFunction="sum" totalsRowDxfId="75"/>
    <tableColumn id="7" xr3:uid="{00000000-0010-0000-0200-000007000000}" name="10 - 15 [mm]" totalsRowFunction="sum" totalsRowDxfId="74"/>
    <tableColumn id="8" xr3:uid="{00000000-0010-0000-0200-000008000000}" name="15 - 20 [mm]" totalsRowFunction="sum" totalsRowDxfId="73"/>
    <tableColumn id="9" xr3:uid="{00000000-0010-0000-0200-000009000000}" name="20 - 30 [mm]" totalsRowFunction="sum" totalsRowDxfId="72"/>
    <tableColumn id="10" xr3:uid="{00000000-0010-0000-0200-00000A000000}" name="&gt; 30 [mm]" totalsRowFunction="sum" totalsRowDxfId="71"/>
    <tableColumn id="11" xr3:uid="{00000000-0010-0000-0200-00000B000000}" name="Summe [mm]" totalsRowFunction="sum" totalsRowDxfId="70"/>
    <tableColumn id="12" xr3:uid="{00000000-0010-0000-0200-00000C000000}" name="0 - 1 [%]" totalsRowFunction="custom" totalsRowDxfId="69">
      <totalsRowFormula>IF(K28&gt; 0, B28/K28, 0)</totalsRowFormula>
    </tableColumn>
    <tableColumn id="13" xr3:uid="{00000000-0010-0000-0200-00000D000000}" name="1 - 2,5 [%]" totalsRowFunction="custom" totalsRowDxfId="68">
      <totalsRowFormula>IF(K28&gt; 0, C28/K28, 0)</totalsRowFormula>
    </tableColumn>
    <tableColumn id="14" xr3:uid="{00000000-0010-0000-0200-00000E000000}" name="2,5 - 5 [%]" totalsRowFunction="custom" totalsRowDxfId="67">
      <totalsRowFormula>IF(K28&gt; 0, D28/K28, 0)</totalsRowFormula>
    </tableColumn>
    <tableColumn id="15" xr3:uid="{00000000-0010-0000-0200-00000F000000}" name="5 - 7,5 [%]" totalsRowFunction="custom" totalsRowDxfId="66">
      <totalsRowFormula>IF(K28&gt; 0, E28/K28, 0)</totalsRowFormula>
    </tableColumn>
    <tableColumn id="16" xr3:uid="{00000000-0010-0000-0200-000010000000}" name="7,5 - 10 [%]" totalsRowFunction="custom" totalsRowDxfId="65">
      <totalsRowFormula>IF(K28&gt; 0, F28/K28, 0)</totalsRowFormula>
    </tableColumn>
    <tableColumn id="17" xr3:uid="{00000000-0010-0000-0200-000011000000}" name="10 - 15 [%]" totalsRowFunction="custom" totalsRowDxfId="64">
      <totalsRowFormula>IF(K28&gt; 0, G28/K28, 0)</totalsRowFormula>
    </tableColumn>
    <tableColumn id="18" xr3:uid="{00000000-0010-0000-0200-000012000000}" name="15 - 20 [%]" totalsRowFunction="custom" totalsRowDxfId="63">
      <totalsRowFormula>IF(K28&gt; 0, H28/K28, 0)</totalsRowFormula>
    </tableColumn>
    <tableColumn id="19" xr3:uid="{00000000-0010-0000-0200-000013000000}" name="20 - 30 [%]" totalsRowFunction="custom" totalsRowDxfId="62">
      <totalsRowFormula>IF(K28&gt; 0, I28/K28, 0)</totalsRowFormula>
    </tableColumn>
    <tableColumn id="20" xr3:uid="{00000000-0010-0000-0200-000014000000}" name="&gt; 30 [%]" totalsRowFunction="custom" totalsRowDxfId="61">
      <totalsRowFormula>IF(K28&gt; 0, J28/K28, 0)</totalsRowFormula>
    </tableColumn>
    <tableColumn id="21" xr3:uid="{00000000-0010-0000-0200-000015000000}" name="Summe [%]" totalsRowFunction="sum" totalsRowDxfId="6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leSize" displayName="TabelleSize" ref="A32:U58" totalsRowCount="1">
  <autoFilter ref="A32:U57" xr:uid="{00000000-0009-0000-0100-000005000000}"/>
  <tableColumns count="21">
    <tableColumn id="1" xr3:uid="{00000000-0010-0000-0300-000001000000}" name="Material" totalsRowLabel="Summe"/>
    <tableColumn id="2" xr3:uid="{00000000-0010-0000-0300-000002000000}" name="0 - 1 [mm]" totalsRowFunction="sum" totalsRowDxfId="59"/>
    <tableColumn id="3" xr3:uid="{00000000-0010-0000-0300-000003000000}" name="1 - 2,5 [mm]" totalsRowFunction="sum" totalsRowDxfId="58"/>
    <tableColumn id="4" xr3:uid="{00000000-0010-0000-0300-000004000000}" name="2,5 - 5 [mm]" totalsRowFunction="sum" totalsRowDxfId="57"/>
    <tableColumn id="5" xr3:uid="{00000000-0010-0000-0300-000005000000}" name="5 - 7,5 [mm]" totalsRowFunction="sum" totalsRowDxfId="56"/>
    <tableColumn id="6" xr3:uid="{00000000-0010-0000-0300-000006000000}" name="7,5 - 10 [mm]" totalsRowFunction="sum" totalsRowDxfId="55"/>
    <tableColumn id="7" xr3:uid="{00000000-0010-0000-0300-000007000000}" name="10 - 15 [mm]" totalsRowFunction="sum" totalsRowDxfId="54"/>
    <tableColumn id="8" xr3:uid="{00000000-0010-0000-0300-000008000000}" name="15 - 20 [mm]" totalsRowFunction="sum" totalsRowDxfId="53"/>
    <tableColumn id="9" xr3:uid="{00000000-0010-0000-0300-000009000000}" name="20 - 30 [mm]" totalsRowFunction="sum" totalsRowDxfId="52"/>
    <tableColumn id="10" xr3:uid="{00000000-0010-0000-0300-00000A000000}" name="&gt; 30 [mm]" totalsRowFunction="sum" totalsRowDxfId="51"/>
    <tableColumn id="11" xr3:uid="{00000000-0010-0000-0300-00000B000000}" name="Summe [mm]" totalsRowFunction="sum" totalsRowDxfId="50"/>
    <tableColumn id="12" xr3:uid="{00000000-0010-0000-0300-00000C000000}" name="0 - 1 [%]" totalsRowFunction="custom" totalsRowDxfId="49">
      <totalsRowFormula>IF(K58&gt; 0, B58/K58, 0)</totalsRowFormula>
    </tableColumn>
    <tableColumn id="13" xr3:uid="{00000000-0010-0000-0300-00000D000000}" name="1 - 2,5 [%]" totalsRowFunction="custom" totalsRowDxfId="48">
      <totalsRowFormula>IF(K58&gt; 0, C58/K58, 0)</totalsRowFormula>
    </tableColumn>
    <tableColumn id="14" xr3:uid="{00000000-0010-0000-0300-00000E000000}" name="2,5 - 5 [%]" totalsRowFunction="custom" totalsRowDxfId="47">
      <totalsRowFormula>IF(K58&gt; 0, D58/K58, 0)</totalsRowFormula>
    </tableColumn>
    <tableColumn id="15" xr3:uid="{00000000-0010-0000-0300-00000F000000}" name="5 - 7,5 [%]" totalsRowFunction="custom" totalsRowDxfId="46">
      <totalsRowFormula>IF(K58&gt; 0, E58/K58, 0)</totalsRowFormula>
    </tableColumn>
    <tableColumn id="16" xr3:uid="{00000000-0010-0000-0300-000010000000}" name="7,5 - 10 [%]" totalsRowFunction="custom" totalsRowDxfId="45">
      <totalsRowFormula>IF(K58&gt; 0, F58/K58, 0)</totalsRowFormula>
    </tableColumn>
    <tableColumn id="17" xr3:uid="{00000000-0010-0000-0300-000011000000}" name="10 - 15 [%]" totalsRowFunction="custom" totalsRowDxfId="44">
      <totalsRowFormula>IF(K58&gt; 0, G58/K58, 0)</totalsRowFormula>
    </tableColumn>
    <tableColumn id="18" xr3:uid="{00000000-0010-0000-0300-000012000000}" name="15 - 20 [%]" totalsRowFunction="custom" totalsRowDxfId="43">
      <totalsRowFormula>IF(K58&gt; 0, H58/K58, 0)</totalsRowFormula>
    </tableColumn>
    <tableColumn id="19" xr3:uid="{00000000-0010-0000-0300-000013000000}" name="20 - 30 [%]" totalsRowFunction="custom" totalsRowDxfId="42">
      <totalsRowFormula>IF(K58&gt; 0, I58/K58, 0)</totalsRowFormula>
    </tableColumn>
    <tableColumn id="20" xr3:uid="{00000000-0010-0000-0300-000014000000}" name="&gt; 30 [%]" totalsRowFunction="custom" totalsRowDxfId="41">
      <totalsRowFormula>IF(K58&gt; 0, J58/K58, 0)</totalsRowFormula>
    </tableColumn>
    <tableColumn id="21" xr3:uid="{00000000-0010-0000-0300-000015000000}" name="Summe [%]" totalsRowFunction="sum" totalsRowDxfId="4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leVolume" displayName="TabelleVolume" ref="A62:U88" totalsRowCount="1">
  <autoFilter ref="A62:U87" xr:uid="{00000000-0009-0000-0100-000006000000}"/>
  <tableColumns count="21">
    <tableColumn id="1" xr3:uid="{00000000-0010-0000-0400-000001000000}" name="Material" totalsRowLabel="Summe"/>
    <tableColumn id="2" xr3:uid="{00000000-0010-0000-0400-000002000000}" name="0 - 1 [mm]" totalsRowFunction="sum" totalsRowDxfId="39"/>
    <tableColumn id="3" xr3:uid="{00000000-0010-0000-0400-000003000000}" name="1 - 2,5 [mm]" totalsRowFunction="sum" totalsRowDxfId="38"/>
    <tableColumn id="4" xr3:uid="{00000000-0010-0000-0400-000004000000}" name="2,5 - 5 [mm]" totalsRowFunction="sum" totalsRowDxfId="37"/>
    <tableColumn id="5" xr3:uid="{00000000-0010-0000-0400-000005000000}" name="5 - 7,5 [mm]" totalsRowFunction="sum" totalsRowDxfId="36"/>
    <tableColumn id="6" xr3:uid="{00000000-0010-0000-0400-000006000000}" name="7,5 - 10 [mm]" totalsRowFunction="sum" totalsRowDxfId="35"/>
    <tableColumn id="7" xr3:uid="{00000000-0010-0000-0400-000007000000}" name="10 - 15 [mm]" totalsRowFunction="sum" totalsRowDxfId="34"/>
    <tableColumn id="8" xr3:uid="{00000000-0010-0000-0400-000008000000}" name="15 - 20 [mm]" totalsRowFunction="sum" totalsRowDxfId="33"/>
    <tableColumn id="9" xr3:uid="{00000000-0010-0000-0400-000009000000}" name="20 - 30 [mm]" totalsRowFunction="sum" totalsRowDxfId="32"/>
    <tableColumn id="10" xr3:uid="{00000000-0010-0000-0400-00000A000000}" name="&gt; 30 [mm]" totalsRowFunction="sum" totalsRowDxfId="31"/>
    <tableColumn id="11" xr3:uid="{00000000-0010-0000-0400-00000B000000}" name="Summe [mm]" totalsRowFunction="sum" totalsRowDxfId="30"/>
    <tableColumn id="12" xr3:uid="{00000000-0010-0000-0400-00000C000000}" name="0 - 1 [%]" totalsRowFunction="custom" totalsRowDxfId="29">
      <totalsRowFormula>IF(K88&gt; 0, B88/K88, 0)</totalsRowFormula>
    </tableColumn>
    <tableColumn id="13" xr3:uid="{00000000-0010-0000-0400-00000D000000}" name="1 - 2,5 [%]" totalsRowFunction="custom" totalsRowDxfId="28">
      <totalsRowFormula>IF(K88&gt; 0, C88/K88, 0)</totalsRowFormula>
    </tableColumn>
    <tableColumn id="14" xr3:uid="{00000000-0010-0000-0400-00000E000000}" name="2,5 - 5 [%]" totalsRowFunction="custom" totalsRowDxfId="27">
      <totalsRowFormula>IF(K88&gt; 0, D88/K88, 0)</totalsRowFormula>
    </tableColumn>
    <tableColumn id="15" xr3:uid="{00000000-0010-0000-0400-00000F000000}" name="5 - 7,5 [%]" totalsRowFunction="custom" totalsRowDxfId="26">
      <totalsRowFormula>IF(K88&gt; 0, E88/K88, 0)</totalsRowFormula>
    </tableColumn>
    <tableColumn id="16" xr3:uid="{00000000-0010-0000-0400-000010000000}" name="7,5 - 10 [%]" totalsRowFunction="custom" totalsRowDxfId="25">
      <totalsRowFormula>IF(K88&gt; 0, F88/K88, 0)</totalsRowFormula>
    </tableColumn>
    <tableColumn id="17" xr3:uid="{00000000-0010-0000-0400-000011000000}" name="10 - 15 [%]" totalsRowFunction="custom" totalsRowDxfId="24">
      <totalsRowFormula>IF(K88&gt; 0, G88/K88, 0)</totalsRowFormula>
    </tableColumn>
    <tableColumn id="18" xr3:uid="{00000000-0010-0000-0400-000012000000}" name="15 - 20 [%]" totalsRowFunction="custom" totalsRowDxfId="23">
      <totalsRowFormula>IF(K88&gt; 0, H88/K88, 0)</totalsRowFormula>
    </tableColumn>
    <tableColumn id="19" xr3:uid="{00000000-0010-0000-0400-000013000000}" name="20 - 30 [%]" totalsRowFunction="custom" totalsRowDxfId="22">
      <totalsRowFormula>IF(K88&gt; 0, I88/K88, 0)</totalsRowFormula>
    </tableColumn>
    <tableColumn id="20" xr3:uid="{00000000-0010-0000-0400-000014000000}" name="&gt; 30 [%]" totalsRowFunction="custom" totalsRowDxfId="21">
      <totalsRowFormula>IF(K88&gt; 0, J88/K88, 0)</totalsRowFormula>
    </tableColumn>
    <tableColumn id="21" xr3:uid="{00000000-0010-0000-0400-000015000000}" name="Summe [%]" totalsRowFunction="sum" totalsRowDxfId="2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elleWeight" displayName="TabelleWeight" ref="A92:U118" totalsRowCount="1">
  <autoFilter ref="A92:U117" xr:uid="{00000000-0009-0000-0100-000007000000}"/>
  <tableColumns count="21">
    <tableColumn id="1" xr3:uid="{00000000-0010-0000-0500-000001000000}" name="Material" totalsRowLabel="Summe"/>
    <tableColumn id="2" xr3:uid="{00000000-0010-0000-0500-000002000000}" name="0 - 1 [mm]" totalsRowFunction="sum" totalsRowDxfId="19"/>
    <tableColumn id="3" xr3:uid="{00000000-0010-0000-0500-000003000000}" name="1 - 2,5 [mm]" totalsRowFunction="sum" totalsRowDxfId="18"/>
    <tableColumn id="4" xr3:uid="{00000000-0010-0000-0500-000004000000}" name="2,5 - 5 [mm]" totalsRowFunction="sum" totalsRowDxfId="17"/>
    <tableColumn id="5" xr3:uid="{00000000-0010-0000-0500-000005000000}" name="5 - 7,5 [mm]" totalsRowFunction="sum" totalsRowDxfId="16"/>
    <tableColumn id="6" xr3:uid="{00000000-0010-0000-0500-000006000000}" name="7,5 - 10 [mm]" totalsRowFunction="sum" totalsRowDxfId="15"/>
    <tableColumn id="7" xr3:uid="{00000000-0010-0000-0500-000007000000}" name="10 - 15 [mm]" totalsRowFunction="sum" totalsRowDxfId="14"/>
    <tableColumn id="8" xr3:uid="{00000000-0010-0000-0500-000008000000}" name="15 - 20 [mm]" totalsRowFunction="sum" totalsRowDxfId="13"/>
    <tableColumn id="9" xr3:uid="{00000000-0010-0000-0500-000009000000}" name="20 - 30 [mm]" totalsRowFunction="sum" totalsRowDxfId="12"/>
    <tableColumn id="10" xr3:uid="{00000000-0010-0000-0500-00000A000000}" name="&gt; 30 [mm]" totalsRowFunction="sum" totalsRowDxfId="11"/>
    <tableColumn id="11" xr3:uid="{00000000-0010-0000-0500-00000B000000}" name="Summe [mm]" totalsRowFunction="sum" totalsRowDxfId="10"/>
    <tableColumn id="12" xr3:uid="{00000000-0010-0000-0500-00000C000000}" name="0 - 1 [%]" totalsRowFunction="custom" totalsRowDxfId="9">
      <totalsRowFormula>IF(K118&gt; 0, B118/K118, 0)</totalsRowFormula>
    </tableColumn>
    <tableColumn id="13" xr3:uid="{00000000-0010-0000-0500-00000D000000}" name="1 - 2,5 [%]" totalsRowFunction="custom" totalsRowDxfId="8">
      <totalsRowFormula>IF(K118&gt; 0, C118/K118, 0)</totalsRowFormula>
    </tableColumn>
    <tableColumn id="14" xr3:uid="{00000000-0010-0000-0500-00000E000000}" name="2,5 - 5 [%]" totalsRowFunction="custom" totalsRowDxfId="7">
      <totalsRowFormula>IF(K118&gt; 0, D118/K118, 0)</totalsRowFormula>
    </tableColumn>
    <tableColumn id="15" xr3:uid="{00000000-0010-0000-0500-00000F000000}" name="5 - 7,5 [%]" totalsRowFunction="custom" totalsRowDxfId="6">
      <totalsRowFormula>IF(K118&gt; 0, E118/K118, 0)</totalsRowFormula>
    </tableColumn>
    <tableColumn id="16" xr3:uid="{00000000-0010-0000-0500-000010000000}" name="7,5 - 10 [%]" totalsRowFunction="custom" totalsRowDxfId="5">
      <totalsRowFormula>IF(K118&gt; 0, F118/K118, 0)</totalsRowFormula>
    </tableColumn>
    <tableColumn id="17" xr3:uid="{00000000-0010-0000-0500-000011000000}" name="10 - 15 [%]" totalsRowFunction="custom" totalsRowDxfId="4">
      <totalsRowFormula>IF(K118&gt; 0, G118/K118, 0)</totalsRowFormula>
    </tableColumn>
    <tableColumn id="18" xr3:uid="{00000000-0010-0000-0500-000012000000}" name="15 - 20 [%]" totalsRowFunction="custom" totalsRowDxfId="3">
      <totalsRowFormula>IF(K118&gt; 0, H118/K118, 0)</totalsRowFormula>
    </tableColumn>
    <tableColumn id="19" xr3:uid="{00000000-0010-0000-0500-000013000000}" name="20 - 30 [%]" totalsRowFunction="custom" totalsRowDxfId="2">
      <totalsRowFormula>IF(K118&gt; 0, I118/K118, 0)</totalsRowFormula>
    </tableColumn>
    <tableColumn id="20" xr3:uid="{00000000-0010-0000-0500-000014000000}" name="&gt; 30 [%]" totalsRowFunction="custom" totalsRowDxfId="1">
      <totalsRowFormula>IF(K118&gt; 0, J118/K118, 0)</totalsRowFormula>
    </tableColumn>
    <tableColumn id="21" xr3:uid="{00000000-0010-0000-0500-000015000000}" name="Summe [%]" totalsRowFunction="sum" totalsRowDxfId="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elleRohdaten" displayName="TabelleRohdaten" ref="A1:DZ17">
  <autoFilter ref="A1:DZ17" xr:uid="{00000000-0009-0000-0100-000001000000}"/>
  <tableColumns count="130">
    <tableColumn id="1" xr3:uid="{00000000-0010-0000-0600-000001000000}" name="Date"/>
    <tableColumn id="2" xr3:uid="{00000000-0010-0000-0600-000002000000}" name="MAT_PE-natural_Count"/>
    <tableColumn id="3" xr3:uid="{00000000-0010-0000-0600-000003000000}" name="MAT_PE-white_Count"/>
    <tableColumn id="4" xr3:uid="{00000000-0010-0000-0600-000004000000}" name="MAT_PE-red_Count"/>
    <tableColumn id="5" xr3:uid="{00000000-0010-0000-0600-000005000000}" name="MAT_PE-yellow_Count"/>
    <tableColumn id="6" xr3:uid="{00000000-0010-0000-0600-000006000000}" name="MAT_PE-green_Count"/>
    <tableColumn id="7" xr3:uid="{00000000-0010-0000-0600-000007000000}" name="MAT_PE-blue_Count"/>
    <tableColumn id="8" xr3:uid="{00000000-0010-0000-0600-000008000000}" name="MAT_PE-coloured_Count"/>
    <tableColumn id="9" xr3:uid="{00000000-0010-0000-0600-000009000000}" name="MAT_PP-clear_Count"/>
    <tableColumn id="10" xr3:uid="{00000000-0010-0000-0600-00000A000000}" name="MAT_PP-white_Count"/>
    <tableColumn id="11" xr3:uid="{00000000-0010-0000-0600-00000B000000}" name="MAT_PP-red_Count"/>
    <tableColumn id="12" xr3:uid="{00000000-0010-0000-0600-00000C000000}" name="MAT_PP-yellow_Count"/>
    <tableColumn id="13" xr3:uid="{00000000-0010-0000-0600-00000D000000}" name="MAT_PP-green_Count"/>
    <tableColumn id="14" xr3:uid="{00000000-0010-0000-0600-00000E000000}" name="MAT_PP-blue_Count"/>
    <tableColumn id="15" xr3:uid="{00000000-0010-0000-0600-00000F000000}" name="MAT_PP-coloured_Count"/>
    <tableColumn id="16" xr3:uid="{00000000-0010-0000-0600-000010000000}" name="MAT_PET_Count"/>
    <tableColumn id="17" xr3:uid="{00000000-0010-0000-0600-000011000000}" name="MAT_PS_Count"/>
    <tableColumn id="18" xr3:uid="{00000000-0010-0000-0600-000012000000}" name="MAT_PVC_Count"/>
    <tableColumn id="19" xr3:uid="{00000000-0010-0000-0600-000013000000}" name="MAT_ABS_Count"/>
    <tableColumn id="20" xr3:uid="{00000000-0010-0000-0600-000014000000}" name="MAT_PA_Count"/>
    <tableColumn id="21" xr3:uid="{00000000-0010-0000-0600-000015000000}" name="MAT_PC_Count"/>
    <tableColumn id="22" xr3:uid="{00000000-0010-0000-0600-000016000000}" name="MAT_Cell_Count"/>
    <tableColumn id="23" xr3:uid="{00000000-0010-0000-0600-000017000000}" name="MAT_Other Plastics_Count"/>
    <tableColumn id="24" xr3:uid="{00000000-0010-0000-0600-000018000000}" name="MAT_Metal_Count"/>
    <tableColumn id="25" xr3:uid="{00000000-0010-0000-0600-000019000000}" name="MAT_NI_Count"/>
    <tableColumn id="26" xr3:uid="{00000000-0010-0000-0600-00001A000000}" name="MAT_Black_Count"/>
    <tableColumn id="27" xr3:uid="{00000000-0010-0000-0600-00001B000000}" name="MAT_PE-natural_Size"/>
    <tableColumn id="28" xr3:uid="{00000000-0010-0000-0600-00001C000000}" name="MAT_PE-white_Size"/>
    <tableColumn id="29" xr3:uid="{00000000-0010-0000-0600-00001D000000}" name="MAT_PE-red_Size"/>
    <tableColumn id="30" xr3:uid="{00000000-0010-0000-0600-00001E000000}" name="MAT_PE-yellow_Size"/>
    <tableColumn id="31" xr3:uid="{00000000-0010-0000-0600-00001F000000}" name="MAT_PE-green_Size"/>
    <tableColumn id="32" xr3:uid="{00000000-0010-0000-0600-000020000000}" name="MAT_PE-blue_Size"/>
    <tableColumn id="33" xr3:uid="{00000000-0010-0000-0600-000021000000}" name="MAT_PE-coloured_Size"/>
    <tableColumn id="34" xr3:uid="{00000000-0010-0000-0600-000022000000}" name="MAT_PP-clear_Size"/>
    <tableColumn id="35" xr3:uid="{00000000-0010-0000-0600-000023000000}" name="MAT_PP-white_Size"/>
    <tableColumn id="36" xr3:uid="{00000000-0010-0000-0600-000024000000}" name="MAT_PP-red_Size"/>
    <tableColumn id="37" xr3:uid="{00000000-0010-0000-0600-000025000000}" name="MAT_PP-yellow_Size"/>
    <tableColumn id="38" xr3:uid="{00000000-0010-0000-0600-000026000000}" name="MAT_PP-green_Size"/>
    <tableColumn id="39" xr3:uid="{00000000-0010-0000-0600-000027000000}" name="MAT_PP-blue_Size"/>
    <tableColumn id="40" xr3:uid="{00000000-0010-0000-0600-000028000000}" name="MAT_PP-coloured_Size"/>
    <tableColumn id="41" xr3:uid="{00000000-0010-0000-0600-000029000000}" name="MAT_PET_Size"/>
    <tableColumn id="42" xr3:uid="{00000000-0010-0000-0600-00002A000000}" name="MAT_PS_Size"/>
    <tableColumn id="43" xr3:uid="{00000000-0010-0000-0600-00002B000000}" name="MAT_PVC_Size"/>
    <tableColumn id="44" xr3:uid="{00000000-0010-0000-0600-00002C000000}" name="MAT_ABS_Size"/>
    <tableColumn id="45" xr3:uid="{00000000-0010-0000-0600-00002D000000}" name="MAT_PA_Size"/>
    <tableColumn id="46" xr3:uid="{00000000-0010-0000-0600-00002E000000}" name="MAT_PC_Size"/>
    <tableColumn id="47" xr3:uid="{00000000-0010-0000-0600-00002F000000}" name="MAT_Cell_Size"/>
    <tableColumn id="48" xr3:uid="{00000000-0010-0000-0600-000030000000}" name="MAT_Other Plastics_Size"/>
    <tableColumn id="49" xr3:uid="{00000000-0010-0000-0600-000031000000}" name="MAT_Metal_Size"/>
    <tableColumn id="50" xr3:uid="{00000000-0010-0000-0600-000032000000}" name="MAT_NI_Size"/>
    <tableColumn id="51" xr3:uid="{00000000-0010-0000-0600-000033000000}" name="MAT_Black_Size"/>
    <tableColumn id="52" xr3:uid="{00000000-0010-0000-0600-000034000000}" name="MAT_PE-natural_Volume"/>
    <tableColumn id="53" xr3:uid="{00000000-0010-0000-0600-000035000000}" name="MAT_PE-white_Volume"/>
    <tableColumn id="54" xr3:uid="{00000000-0010-0000-0600-000036000000}" name="MAT_PE-red_Volume"/>
    <tableColumn id="55" xr3:uid="{00000000-0010-0000-0600-000037000000}" name="MAT_PE-yellow_Volume"/>
    <tableColumn id="56" xr3:uid="{00000000-0010-0000-0600-000038000000}" name="MAT_PE-green_Volume"/>
    <tableColumn id="57" xr3:uid="{00000000-0010-0000-0600-000039000000}" name="MAT_PE-blue_Volume"/>
    <tableColumn id="58" xr3:uid="{00000000-0010-0000-0600-00003A000000}" name="MAT_PE-coloured_Volume"/>
    <tableColumn id="59" xr3:uid="{00000000-0010-0000-0600-00003B000000}" name="MAT_PP-clear_Volume"/>
    <tableColumn id="60" xr3:uid="{00000000-0010-0000-0600-00003C000000}" name="MAT_PP-white_Volume"/>
    <tableColumn id="61" xr3:uid="{00000000-0010-0000-0600-00003D000000}" name="MAT_PP-red_Volume"/>
    <tableColumn id="62" xr3:uid="{00000000-0010-0000-0600-00003E000000}" name="MAT_PP-yellow_Volume"/>
    <tableColumn id="63" xr3:uid="{00000000-0010-0000-0600-00003F000000}" name="MAT_PP-green_Volume"/>
    <tableColumn id="64" xr3:uid="{00000000-0010-0000-0600-000040000000}" name="MAT_PP-blue_Volume"/>
    <tableColumn id="65" xr3:uid="{00000000-0010-0000-0600-000041000000}" name="MAT_PP-coloured_Volume"/>
    <tableColumn id="66" xr3:uid="{00000000-0010-0000-0600-000042000000}" name="MAT_PET_Volume"/>
    <tableColumn id="67" xr3:uid="{00000000-0010-0000-0600-000043000000}" name="MAT_PS_Volume"/>
    <tableColumn id="68" xr3:uid="{00000000-0010-0000-0600-000044000000}" name="MAT_PVC_Volume"/>
    <tableColumn id="69" xr3:uid="{00000000-0010-0000-0600-000045000000}" name="MAT_ABS_Volume"/>
    <tableColumn id="70" xr3:uid="{00000000-0010-0000-0600-000046000000}" name="MAT_PA_Volume"/>
    <tableColumn id="71" xr3:uid="{00000000-0010-0000-0600-000047000000}" name="MAT_PC_Volume"/>
    <tableColumn id="72" xr3:uid="{00000000-0010-0000-0600-000048000000}" name="MAT_Cell_Volume"/>
    <tableColumn id="73" xr3:uid="{00000000-0010-0000-0600-000049000000}" name="MAT_Other Plastics_Volume"/>
    <tableColumn id="74" xr3:uid="{00000000-0010-0000-0600-00004A000000}" name="MAT_Metal_Volume"/>
    <tableColumn id="75" xr3:uid="{00000000-0010-0000-0600-00004B000000}" name="MAT_NI_Volume"/>
    <tableColumn id="76" xr3:uid="{00000000-0010-0000-0600-00004C000000}" name="MAT_Black_Volume"/>
    <tableColumn id="77" xr3:uid="{00000000-0010-0000-0600-00004D000000}" name="MAT_PE-natural_Weight"/>
    <tableColumn id="78" xr3:uid="{00000000-0010-0000-0600-00004E000000}" name="MAT_PE-white_Weight"/>
    <tableColumn id="79" xr3:uid="{00000000-0010-0000-0600-00004F000000}" name="MAT_PE-red_Weight"/>
    <tableColumn id="80" xr3:uid="{00000000-0010-0000-0600-000050000000}" name="MAT_PE-yellow_Weight"/>
    <tableColumn id="81" xr3:uid="{00000000-0010-0000-0600-000051000000}" name="MAT_PE-green_Weight"/>
    <tableColumn id="82" xr3:uid="{00000000-0010-0000-0600-000052000000}" name="MAT_PE-blue_Weight"/>
    <tableColumn id="83" xr3:uid="{00000000-0010-0000-0600-000053000000}" name="MAT_PE-coloured_Weight"/>
    <tableColumn id="84" xr3:uid="{00000000-0010-0000-0600-000054000000}" name="MAT_PP-clear_Weight"/>
    <tableColumn id="85" xr3:uid="{00000000-0010-0000-0600-000055000000}" name="MAT_PP-white_Weight"/>
    <tableColumn id="86" xr3:uid="{00000000-0010-0000-0600-000056000000}" name="MAT_PP-red_Weight"/>
    <tableColumn id="87" xr3:uid="{00000000-0010-0000-0600-000057000000}" name="MAT_PP-yellow_Weight"/>
    <tableColumn id="88" xr3:uid="{00000000-0010-0000-0600-000058000000}" name="MAT_PP-green_Weight"/>
    <tableColumn id="89" xr3:uid="{00000000-0010-0000-0600-000059000000}" name="MAT_PP-blue_Weight"/>
    <tableColumn id="90" xr3:uid="{00000000-0010-0000-0600-00005A000000}" name="MAT_PP-coloured_Weight"/>
    <tableColumn id="91" xr3:uid="{00000000-0010-0000-0600-00005B000000}" name="MAT_PET_Weight"/>
    <tableColumn id="92" xr3:uid="{00000000-0010-0000-0600-00005C000000}" name="MAT_PS_Weight"/>
    <tableColumn id="93" xr3:uid="{00000000-0010-0000-0600-00005D000000}" name="MAT_PVC_Weight"/>
    <tableColumn id="94" xr3:uid="{00000000-0010-0000-0600-00005E000000}" name="MAT_ABS_Weight"/>
    <tableColumn id="95" xr3:uid="{00000000-0010-0000-0600-00005F000000}" name="MAT_PA_Weight"/>
    <tableColumn id="96" xr3:uid="{00000000-0010-0000-0600-000060000000}" name="MAT_PC_Weight"/>
    <tableColumn id="97" xr3:uid="{00000000-0010-0000-0600-000061000000}" name="MAT_Cell_Weight"/>
    <tableColumn id="98" xr3:uid="{00000000-0010-0000-0600-000062000000}" name="MAT_Other Plastics_Weight"/>
    <tableColumn id="99" xr3:uid="{00000000-0010-0000-0600-000063000000}" name="MAT_Metal_Weight"/>
    <tableColumn id="100" xr3:uid="{00000000-0010-0000-0600-000064000000}" name="MAT_NI_Weight"/>
    <tableColumn id="101" xr3:uid="{00000000-0010-0000-0600-000065000000}" name="MAT_Black_Weight"/>
    <tableColumn id="102" xr3:uid="{00000000-0010-0000-0600-000066000000}" name="BLT_0"/>
    <tableColumn id="103" xr3:uid="{00000000-0010-0000-0600-000067000000}" name="BLT_1"/>
    <tableColumn id="104" xr3:uid="{00000000-0010-0000-0600-000068000000}" name="BLT_2"/>
    <tableColumn id="105" xr3:uid="{00000000-0010-0000-0600-000069000000}" name="BLT_3"/>
    <tableColumn id="106" xr3:uid="{00000000-0010-0000-0600-00006A000000}" name="BLT_4"/>
    <tableColumn id="107" xr3:uid="{00000000-0010-0000-0600-00006B000000}" name="BLT_5"/>
    <tableColumn id="108" xr3:uid="{00000000-0010-0000-0600-00006C000000}" name="BLT_6"/>
    <tableColumn id="109" xr3:uid="{00000000-0010-0000-0600-00006D000000}" name="BLT_7"/>
    <tableColumn id="110" xr3:uid="{00000000-0010-0000-0600-00006E000000}" name="BLT_8"/>
    <tableColumn id="111" xr3:uid="{00000000-0010-0000-0600-00006F000000}" name="BLT_9"/>
    <tableColumn id="112" xr3:uid="{00000000-0010-0000-0600-000070000000}" name="BLT_10"/>
    <tableColumn id="113" xr3:uid="{00000000-0010-0000-0600-000071000000}" name="BLT_11"/>
    <tableColumn id="114" xr3:uid="{00000000-0010-0000-0600-000072000000}" name="BLT_12"/>
    <tableColumn id="115" xr3:uid="{00000000-0010-0000-0600-000073000000}" name="BLT_13"/>
    <tableColumn id="116" xr3:uid="{00000000-0010-0000-0600-000074000000}" name="BLT_14"/>
    <tableColumn id="117" xr3:uid="{00000000-0010-0000-0600-000075000000}" name="BLT_15"/>
    <tableColumn id="118" xr3:uid="{00000000-0010-0000-0600-000076000000}" name="BLT_16"/>
    <tableColumn id="119" xr3:uid="{00000000-0010-0000-0600-000077000000}" name="BLT_17"/>
    <tableColumn id="120" xr3:uid="{00000000-0010-0000-0600-000078000000}" name="BLT_18"/>
    <tableColumn id="121" xr3:uid="{00000000-0010-0000-0600-000079000000}" name="BLT_19"/>
    <tableColumn id="122" xr3:uid="{00000000-0010-0000-0600-00007A000000}" name="GRA_0"/>
    <tableColumn id="123" xr3:uid="{00000000-0010-0000-0600-00007B000000}" name="GRA_1"/>
    <tableColumn id="124" xr3:uid="{00000000-0010-0000-0600-00007C000000}" name="GRA_2"/>
    <tableColumn id="125" xr3:uid="{00000000-0010-0000-0600-00007D000000}" name="GRA_3"/>
    <tableColumn id="126" xr3:uid="{00000000-0010-0000-0600-00007E000000}" name="GRA_4"/>
    <tableColumn id="127" xr3:uid="{00000000-0010-0000-0600-00007F000000}" name="GRA_5"/>
    <tableColumn id="128" xr3:uid="{00000000-0010-0000-0600-000080000000}" name="GRA_6"/>
    <tableColumn id="129" xr3:uid="{00000000-0010-0000-0600-000081000000}" name="GRA_7"/>
    <tableColumn id="130" xr3:uid="{00000000-0010-0000-0600-000082000000}" name="GRA_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/>
  </sheetViews>
  <sheetFormatPr baseColWidth="10" defaultColWidth="9.140625" defaultRowHeight="15" x14ac:dyDescent="0.25"/>
  <cols>
    <col min="1" max="1" width="13.28515625" customWidth="1"/>
    <col min="2" max="2" width="14.42578125" customWidth="1"/>
    <col min="3" max="3" width="19.5703125" customWidth="1"/>
    <col min="4" max="4" width="14.5703125" customWidth="1"/>
    <col min="5" max="5" width="12" customWidth="1"/>
    <col min="6" max="6" width="16.85546875" customWidth="1"/>
    <col min="7" max="7" width="23.140625" customWidth="1"/>
    <col min="8" max="8" width="13" customWidth="1"/>
    <col min="9" max="9" width="23.28515625" customWidth="1"/>
    <col min="12" max="12" width="12.140625" customWidth="1"/>
    <col min="13" max="13" width="14.5703125" customWidth="1"/>
    <col min="14" max="14" width="12" customWidth="1"/>
  </cols>
  <sheetData>
    <row r="1" spans="1:14" x14ac:dyDescent="0.2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L1" t="s">
        <v>155</v>
      </c>
      <c r="M1" t="s">
        <v>149</v>
      </c>
      <c r="N1" t="s">
        <v>150</v>
      </c>
    </row>
    <row r="2" spans="1:14" x14ac:dyDescent="0.25">
      <c r="A2" t="s">
        <v>156</v>
      </c>
      <c r="B2" s="2">
        <v>11</v>
      </c>
      <c r="C2" s="3">
        <v>0.14780972856758937</v>
      </c>
      <c r="D2" s="3">
        <v>328.9</v>
      </c>
      <c r="E2" s="3">
        <v>8.8755472332120874E-2</v>
      </c>
      <c r="F2" s="3">
        <v>536.13</v>
      </c>
      <c r="G2" s="3">
        <v>9.5119893326906499E-2</v>
      </c>
      <c r="H2" s="3">
        <v>0.11695664438052417</v>
      </c>
      <c r="I2" s="3">
        <v>9.5086702748393634E-2</v>
      </c>
      <c r="L2" t="s">
        <v>157</v>
      </c>
      <c r="M2" s="3">
        <v>1.38</v>
      </c>
      <c r="N2" s="3">
        <v>8.2954786996151865E-4</v>
      </c>
    </row>
    <row r="3" spans="1:14" x14ac:dyDescent="0.25">
      <c r="A3" t="s">
        <v>158</v>
      </c>
      <c r="B3" s="2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L3" t="s">
        <v>159</v>
      </c>
      <c r="M3" s="3">
        <v>1869.58</v>
      </c>
      <c r="N3" s="3">
        <v>1.1238450048714899</v>
      </c>
    </row>
    <row r="4" spans="1:14" x14ac:dyDescent="0.25">
      <c r="A4" t="s">
        <v>160</v>
      </c>
      <c r="B4" s="2">
        <v>13</v>
      </c>
      <c r="C4" s="3">
        <v>0.17468422467078742</v>
      </c>
      <c r="D4" s="3">
        <v>541.6</v>
      </c>
      <c r="E4" s="3">
        <v>0.14615373613583663</v>
      </c>
      <c r="F4" s="3">
        <v>678.83</v>
      </c>
      <c r="G4" s="3">
        <v>0.1204376497996828</v>
      </c>
      <c r="H4" s="3">
        <v>0.14808489803311503</v>
      </c>
      <c r="I4" s="3">
        <v>0.12039422604318296</v>
      </c>
      <c r="L4" t="s">
        <v>161</v>
      </c>
      <c r="M4" s="3">
        <v>38199.61</v>
      </c>
      <c r="N4" s="3">
        <v>22.962612397725163</v>
      </c>
    </row>
    <row r="5" spans="1:14" x14ac:dyDescent="0.25">
      <c r="A5" t="s">
        <v>162</v>
      </c>
      <c r="B5" s="2">
        <v>7360</v>
      </c>
      <c r="C5" s="3">
        <v>98.898145659768886</v>
      </c>
      <c r="D5" s="3">
        <v>367960.1</v>
      </c>
      <c r="E5" s="3">
        <v>99.296054955531858</v>
      </c>
      <c r="F5" s="3">
        <v>559996.69999999995</v>
      </c>
      <c r="G5" s="3">
        <v>99.354310274410423</v>
      </c>
      <c r="H5" s="3">
        <v>122.16374931721762</v>
      </c>
      <c r="I5" s="3">
        <v>99.320121396111887</v>
      </c>
      <c r="L5" t="s">
        <v>163</v>
      </c>
      <c r="M5" s="3">
        <v>107758.25</v>
      </c>
      <c r="N5" s="3">
        <v>64.77581649150784</v>
      </c>
    </row>
    <row r="6" spans="1:14" x14ac:dyDescent="0.25">
      <c r="A6" t="s">
        <v>164</v>
      </c>
      <c r="B6" s="2">
        <v>4</v>
      </c>
      <c r="C6" s="3">
        <v>5.3748992206396132E-2</v>
      </c>
      <c r="D6" s="3">
        <v>151.9</v>
      </c>
      <c r="E6" s="3">
        <v>4.099104970279465E-2</v>
      </c>
      <c r="F6" s="3">
        <v>233.78</v>
      </c>
      <c r="G6" s="3">
        <v>4.1477120590088602E-2</v>
      </c>
      <c r="H6" s="3">
        <v>5.0998536793833205E-2</v>
      </c>
      <c r="I6" s="3">
        <v>4.1462225035636756E-2</v>
      </c>
      <c r="L6" t="s">
        <v>165</v>
      </c>
      <c r="M6" s="3">
        <v>18526.86</v>
      </c>
      <c r="N6" s="3">
        <v>11.136896558025551</v>
      </c>
    </row>
    <row r="7" spans="1:14" x14ac:dyDescent="0.25">
      <c r="A7" t="s">
        <v>166</v>
      </c>
      <c r="B7" s="2">
        <v>23</v>
      </c>
      <c r="C7" s="3">
        <v>0.30905670518677775</v>
      </c>
      <c r="D7" s="3">
        <v>876.6</v>
      </c>
      <c r="E7" s="3">
        <v>0.2365553269879512</v>
      </c>
      <c r="F7" s="3">
        <v>1099.8800000000001</v>
      </c>
      <c r="G7" s="3">
        <v>0.19514011204819343</v>
      </c>
      <c r="H7" s="3">
        <v>0.2399402830752046</v>
      </c>
      <c r="I7" s="3">
        <v>0.19507340087415007</v>
      </c>
      <c r="L7" t="s">
        <v>167</v>
      </c>
      <c r="M7" s="3">
        <v>0</v>
      </c>
      <c r="N7" s="3">
        <v>0</v>
      </c>
    </row>
    <row r="8" spans="1:14" x14ac:dyDescent="0.25">
      <c r="A8" t="s">
        <v>168</v>
      </c>
      <c r="B8" s="2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L8" t="s">
        <v>169</v>
      </c>
      <c r="M8" s="3">
        <v>0</v>
      </c>
      <c r="N8" s="3">
        <v>0</v>
      </c>
    </row>
    <row r="9" spans="1:14" x14ac:dyDescent="0.25">
      <c r="A9" t="s">
        <v>170</v>
      </c>
      <c r="B9" s="2">
        <v>3</v>
      </c>
      <c r="C9" s="3">
        <v>4.0311744154797095E-2</v>
      </c>
      <c r="D9" s="3">
        <v>29.4</v>
      </c>
      <c r="E9" s="3">
        <v>7.9337515553796097E-3</v>
      </c>
      <c r="F9" s="3">
        <v>10.84</v>
      </c>
      <c r="G9" s="3">
        <v>1.9232269107560974E-3</v>
      </c>
      <c r="H9" s="3">
        <v>2.2882619922056677E-3</v>
      </c>
      <c r="I9" s="3">
        <v>1.8603756034192419E-3</v>
      </c>
      <c r="L9" t="s">
        <v>171</v>
      </c>
      <c r="M9" s="3">
        <v>0</v>
      </c>
      <c r="N9" s="3">
        <v>0</v>
      </c>
    </row>
    <row r="10" spans="1:14" x14ac:dyDescent="0.25">
      <c r="A10" t="s">
        <v>172</v>
      </c>
      <c r="B10" s="2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L10" t="s">
        <v>173</v>
      </c>
      <c r="M10" s="3">
        <v>0</v>
      </c>
      <c r="N10" s="3">
        <v>0</v>
      </c>
    </row>
    <row r="11" spans="1:14" x14ac:dyDescent="0.25">
      <c r="A11" t="s">
        <v>174</v>
      </c>
      <c r="B11" s="2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L11" t="s">
        <v>175</v>
      </c>
      <c r="M11" s="3">
        <f>SUBTOTAL(109,TabelleKorngroesse[Fläche '[mm²']])</f>
        <v>166355.68</v>
      </c>
      <c r="N11" s="3">
        <f>SUBTOTAL(109,TabelleKorngroesse[Fläche '[%']])</f>
        <v>100.00000000000001</v>
      </c>
    </row>
    <row r="12" spans="1:14" x14ac:dyDescent="0.25">
      <c r="A12" t="s">
        <v>176</v>
      </c>
      <c r="B12" s="2">
        <v>13</v>
      </c>
      <c r="C12" s="3">
        <v>0.17468422467078742</v>
      </c>
      <c r="D12" s="3">
        <v>395.1</v>
      </c>
      <c r="E12" s="3">
        <v>0.10661990610647903</v>
      </c>
      <c r="F12" s="3">
        <v>587.41000000000008</v>
      </c>
      <c r="G12" s="3">
        <v>0.1042179630670885</v>
      </c>
      <c r="H12" s="3">
        <v>0.12405582636242794</v>
      </c>
      <c r="I12" s="3">
        <v>0.10085839541660808</v>
      </c>
    </row>
    <row r="13" spans="1:14" x14ac:dyDescent="0.25">
      <c r="A13" t="s">
        <v>177</v>
      </c>
      <c r="B13" s="2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</row>
    <row r="14" spans="1:14" x14ac:dyDescent="0.25">
      <c r="A14" t="s">
        <v>178</v>
      </c>
      <c r="B14" s="2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</row>
    <row r="15" spans="1:14" x14ac:dyDescent="0.25">
      <c r="A15" t="s">
        <v>179</v>
      </c>
      <c r="B15" s="2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14" x14ac:dyDescent="0.25">
      <c r="A16" t="s">
        <v>180</v>
      </c>
      <c r="B16" s="2">
        <v>8</v>
      </c>
      <c r="C16" s="3">
        <v>0.10749798441279226</v>
      </c>
      <c r="D16" s="3">
        <v>146.4</v>
      </c>
      <c r="E16" s="3">
        <v>3.9506844479849486E-2</v>
      </c>
      <c r="F16" s="3">
        <v>371.66</v>
      </c>
      <c r="G16" s="3">
        <v>6.5939715281513947E-2</v>
      </c>
      <c r="H16" s="3">
        <v>0.11902907638766376</v>
      </c>
      <c r="I16" s="3">
        <v>9.6771606819238826E-2</v>
      </c>
    </row>
    <row r="17" spans="1:9" x14ac:dyDescent="0.25">
      <c r="A17" t="s">
        <v>181</v>
      </c>
      <c r="B17" s="2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</row>
    <row r="18" spans="1:9" x14ac:dyDescent="0.25">
      <c r="A18" t="s">
        <v>182</v>
      </c>
      <c r="B18" s="2">
        <v>3</v>
      </c>
      <c r="C18" s="3">
        <v>4.0311744154797095E-2</v>
      </c>
      <c r="D18" s="3">
        <v>94.7</v>
      </c>
      <c r="E18" s="3">
        <v>2.5555315384164931E-2</v>
      </c>
      <c r="F18" s="3">
        <v>76.63</v>
      </c>
      <c r="G18" s="3">
        <v>1.3595652967826544E-2</v>
      </c>
      <c r="H18" s="3">
        <v>2.4720655923909502E-2</v>
      </c>
      <c r="I18" s="3">
        <v>2.0098094247080898E-2</v>
      </c>
    </row>
    <row r="19" spans="1:9" x14ac:dyDescent="0.25">
      <c r="A19" t="s">
        <v>183</v>
      </c>
      <c r="B19" s="2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</row>
    <row r="20" spans="1:9" x14ac:dyDescent="0.25">
      <c r="A20" t="s">
        <v>184</v>
      </c>
      <c r="B20" s="2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</row>
    <row r="21" spans="1:9" x14ac:dyDescent="0.25">
      <c r="A21" t="s">
        <v>185</v>
      </c>
      <c r="B21" s="2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 x14ac:dyDescent="0.25">
      <c r="A22" t="s">
        <v>186</v>
      </c>
      <c r="B22" s="2">
        <v>2</v>
      </c>
      <c r="C22" s="3">
        <v>2.6874496103198066E-2</v>
      </c>
      <c r="D22" s="3">
        <v>13.5</v>
      </c>
      <c r="E22" s="3">
        <v>3.6430491835926777E-3</v>
      </c>
      <c r="F22" s="3">
        <v>1.1000000000000001</v>
      </c>
      <c r="G22" s="3">
        <v>1.9516140238299884E-4</v>
      </c>
      <c r="H22" s="3">
        <v>1.7869794462458056E-4</v>
      </c>
      <c r="I22" s="3">
        <v>1.4528288180860207E-4</v>
      </c>
    </row>
    <row r="23" spans="1:9" x14ac:dyDescent="0.25">
      <c r="A23" t="s">
        <v>187</v>
      </c>
      <c r="B23" s="2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 x14ac:dyDescent="0.25">
      <c r="A24" t="s">
        <v>188</v>
      </c>
      <c r="B24" s="2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</row>
    <row r="25" spans="1:9" x14ac:dyDescent="0.25">
      <c r="A25" t="s">
        <v>189</v>
      </c>
      <c r="B25" s="2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spans="1:9" x14ac:dyDescent="0.25">
      <c r="A26" t="s">
        <v>190</v>
      </c>
      <c r="B26" s="2">
        <v>2</v>
      </c>
      <c r="C26" s="3">
        <v>2.6874496103198066E-2</v>
      </c>
      <c r="D26" s="3">
        <v>30.5</v>
      </c>
      <c r="E26" s="3">
        <v>8.2305925999686426E-3</v>
      </c>
      <c r="F26" s="3">
        <v>43.08</v>
      </c>
      <c r="G26" s="3">
        <v>7.6432301951450806E-3</v>
      </c>
      <c r="H26" s="3">
        <v>9.9978018888661393E-3</v>
      </c>
      <c r="I26" s="3">
        <v>8.1282942185903571E-3</v>
      </c>
    </row>
    <row r="27" spans="1:9" x14ac:dyDescent="0.25">
      <c r="A27" t="s">
        <v>175</v>
      </c>
      <c r="B27" s="2">
        <f>SUBTOTAL(109,TabelleStatistik[Objektanzahl])</f>
        <v>7442</v>
      </c>
      <c r="C27" s="3">
        <f>SUBTOTAL(109,TabelleStatistik[Anzahl Objekte '[%']])</f>
        <v>100</v>
      </c>
      <c r="D27" s="3">
        <f>SUBTOTAL(109,TabelleStatistik[Fläche '[mm²']])</f>
        <v>370568.7</v>
      </c>
      <c r="E27" s="3">
        <f>SUBTOTAL(109,TabelleStatistik[Fläche '[%']])</f>
        <v>100</v>
      </c>
      <c r="F27" s="3">
        <f>SUBTOTAL(109,TabelleStatistik[Volumen '[mm³']])</f>
        <v>563636.03999999992</v>
      </c>
      <c r="G27" s="3">
        <f>SUBTOTAL(109,TabelleStatistik[Volumenverteilung '[%']])</f>
        <v>100.00000000000001</v>
      </c>
      <c r="H27" s="3">
        <f>SUBTOTAL(109,TabelleStatistik[Gewicht '[g']])</f>
        <v>122.99999999999999</v>
      </c>
      <c r="I27" s="3">
        <f>SUBTOTAL(109,TabelleStatistik[Gewichtsverteilung '[%']])</f>
        <v>99.999999999999986</v>
      </c>
    </row>
    <row r="28" spans="1:9" x14ac:dyDescent="0.25">
      <c r="A28" t="s">
        <v>191</v>
      </c>
      <c r="B28" s="1">
        <v>2.552996959667488</v>
      </c>
    </row>
  </sheetData>
  <sheetProtection sheet="1" objects="1" scenarios="1"/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8"/>
  <sheetViews>
    <sheetView workbookViewId="0">
      <selection sqref="A1:U1"/>
    </sheetView>
  </sheetViews>
  <sheetFormatPr baseColWidth="10" defaultColWidth="9.140625" defaultRowHeight="15" x14ac:dyDescent="0.25"/>
  <cols>
    <col min="1" max="1" width="12.7109375" customWidth="1"/>
    <col min="2" max="2" width="12" customWidth="1"/>
    <col min="3" max="5" width="13.7109375" customWidth="1"/>
    <col min="6" max="6" width="14.7109375" customWidth="1"/>
    <col min="7" max="9" width="14.28515625" customWidth="1"/>
    <col min="10" max="10" width="12" customWidth="1"/>
    <col min="11" max="11" width="14.85546875" customWidth="1"/>
    <col min="12" max="12" width="10.140625" customWidth="1"/>
    <col min="13" max="15" width="11.7109375" customWidth="1"/>
    <col min="16" max="16" width="12.85546875" customWidth="1"/>
    <col min="17" max="19" width="12.28515625" customWidth="1"/>
    <col min="20" max="20" width="10" customWidth="1"/>
    <col min="21" max="21" width="13" customWidth="1"/>
  </cols>
  <sheetData>
    <row r="1" spans="1:21" x14ac:dyDescent="0.25">
      <c r="A1" s="5" t="s">
        <v>192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25">
      <c r="A2" t="s">
        <v>146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  <c r="L2" t="s">
        <v>203</v>
      </c>
      <c r="M2" t="s">
        <v>204</v>
      </c>
      <c r="N2" t="s">
        <v>205</v>
      </c>
      <c r="O2" t="s">
        <v>206</v>
      </c>
      <c r="P2" t="s">
        <v>207</v>
      </c>
      <c r="Q2" t="s">
        <v>208</v>
      </c>
      <c r="R2" t="s">
        <v>209</v>
      </c>
      <c r="S2" t="s">
        <v>210</v>
      </c>
      <c r="T2" t="s">
        <v>211</v>
      </c>
      <c r="U2" t="s">
        <v>212</v>
      </c>
    </row>
    <row r="3" spans="1:21" x14ac:dyDescent="0.25">
      <c r="A3" t="s">
        <v>156</v>
      </c>
      <c r="B3" s="2">
        <v>0</v>
      </c>
      <c r="C3" s="2">
        <v>1</v>
      </c>
      <c r="D3" s="2">
        <v>8</v>
      </c>
      <c r="E3" s="2">
        <v>2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f t="shared" ref="K3:K27" si="0">SUM(B3:J3)</f>
        <v>11</v>
      </c>
      <c r="L3" s="4">
        <f t="shared" ref="L3:L27" si="1">IF(K3&gt;0, B3/K3,0)</f>
        <v>0</v>
      </c>
      <c r="M3" s="4">
        <f t="shared" ref="M3:M27" si="2">IF(K3&gt;0, C3/K3,0)</f>
        <v>9.0909090909090912E-2</v>
      </c>
      <c r="N3" s="4">
        <f t="shared" ref="N3:N27" si="3">IF(K3&gt;0, D3/K3,0)</f>
        <v>0.72727272727272729</v>
      </c>
      <c r="O3" s="4">
        <f t="shared" ref="O3:O27" si="4">IF(K3&gt;0, E3/K3,0)</f>
        <v>0.18181818181818182</v>
      </c>
      <c r="P3" s="4">
        <f t="shared" ref="P3:P27" si="5">IF(K3&gt;0, F3/K3,0)</f>
        <v>0</v>
      </c>
      <c r="Q3" s="4">
        <f t="shared" ref="Q3:Q27" si="6">IF(K3&gt;0, G3/K3,0)</f>
        <v>0</v>
      </c>
      <c r="R3" s="4">
        <f t="shared" ref="R3:R27" si="7">IF(K3&gt;0, H3/K3,0)</f>
        <v>0</v>
      </c>
      <c r="S3" s="4">
        <f t="shared" ref="S3:S27" si="8">IF(K3&gt;0, I3/K3,0)</f>
        <v>0</v>
      </c>
      <c r="T3" s="4">
        <f t="shared" ref="T3:T27" si="9">IF(K3&gt;0, J3/K3,0)</f>
        <v>0</v>
      </c>
      <c r="U3" s="4">
        <f>IF(K28&gt;0, K3/K28, 0)</f>
        <v>1.4780972856758936E-3</v>
      </c>
    </row>
    <row r="4" spans="1:21" x14ac:dyDescent="0.25">
      <c r="A4" t="s">
        <v>158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f t="shared" si="0"/>
        <v>0</v>
      </c>
      <c r="L4" s="4">
        <f t="shared" si="1"/>
        <v>0</v>
      </c>
      <c r="M4" s="4">
        <f t="shared" si="2"/>
        <v>0</v>
      </c>
      <c r="N4" s="4">
        <f t="shared" si="3"/>
        <v>0</v>
      </c>
      <c r="O4" s="4">
        <f t="shared" si="4"/>
        <v>0</v>
      </c>
      <c r="P4" s="4">
        <f t="shared" si="5"/>
        <v>0</v>
      </c>
      <c r="Q4" s="4">
        <f t="shared" si="6"/>
        <v>0</v>
      </c>
      <c r="R4" s="4">
        <f t="shared" si="7"/>
        <v>0</v>
      </c>
      <c r="S4" s="4">
        <f t="shared" si="8"/>
        <v>0</v>
      </c>
      <c r="T4" s="4">
        <f t="shared" si="9"/>
        <v>0</v>
      </c>
      <c r="U4" s="4">
        <f>IF(K28&gt;0, K4/K28, 0)</f>
        <v>0</v>
      </c>
    </row>
    <row r="5" spans="1:21" x14ac:dyDescent="0.25">
      <c r="A5" t="s">
        <v>160</v>
      </c>
      <c r="B5" s="2">
        <v>0</v>
      </c>
      <c r="C5" s="2">
        <v>2</v>
      </c>
      <c r="D5" s="2">
        <v>4</v>
      </c>
      <c r="E5" s="2">
        <v>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f t="shared" si="0"/>
        <v>13</v>
      </c>
      <c r="L5" s="4">
        <f t="shared" si="1"/>
        <v>0</v>
      </c>
      <c r="M5" s="4">
        <f t="shared" si="2"/>
        <v>0.15384615384615385</v>
      </c>
      <c r="N5" s="4">
        <f t="shared" si="3"/>
        <v>0.30769230769230771</v>
      </c>
      <c r="O5" s="4">
        <f t="shared" si="4"/>
        <v>0.53846153846153844</v>
      </c>
      <c r="P5" s="4">
        <f t="shared" si="5"/>
        <v>0</v>
      </c>
      <c r="Q5" s="4">
        <f t="shared" si="6"/>
        <v>0</v>
      </c>
      <c r="R5" s="4">
        <f t="shared" si="7"/>
        <v>0</v>
      </c>
      <c r="S5" s="4">
        <f t="shared" si="8"/>
        <v>0</v>
      </c>
      <c r="T5" s="4">
        <f t="shared" si="9"/>
        <v>0</v>
      </c>
      <c r="U5" s="4">
        <f>IF(K28&gt;0, K5/K28, 0)</f>
        <v>1.7468422467078742E-3</v>
      </c>
    </row>
    <row r="6" spans="1:21" x14ac:dyDescent="0.25">
      <c r="A6" t="s">
        <v>162</v>
      </c>
      <c r="B6" s="2">
        <v>2</v>
      </c>
      <c r="C6" s="2">
        <v>281</v>
      </c>
      <c r="D6" s="2">
        <v>2470</v>
      </c>
      <c r="E6" s="2">
        <v>4393</v>
      </c>
      <c r="F6" s="2">
        <v>214</v>
      </c>
      <c r="G6" s="2">
        <v>0</v>
      </c>
      <c r="H6" s="2">
        <v>0</v>
      </c>
      <c r="I6" s="2">
        <v>0</v>
      </c>
      <c r="J6" s="2">
        <v>0</v>
      </c>
      <c r="K6" s="2">
        <f t="shared" si="0"/>
        <v>7360</v>
      </c>
      <c r="L6" s="4">
        <f t="shared" si="1"/>
        <v>2.7173913043478261E-4</v>
      </c>
      <c r="M6" s="4">
        <f t="shared" si="2"/>
        <v>3.8179347826086958E-2</v>
      </c>
      <c r="N6" s="4">
        <f t="shared" si="3"/>
        <v>0.33559782608695654</v>
      </c>
      <c r="O6" s="4">
        <f t="shared" si="4"/>
        <v>0.59687500000000004</v>
      </c>
      <c r="P6" s="4">
        <f t="shared" si="5"/>
        <v>2.9076086956521738E-2</v>
      </c>
      <c r="Q6" s="4">
        <f t="shared" si="6"/>
        <v>0</v>
      </c>
      <c r="R6" s="4">
        <f t="shared" si="7"/>
        <v>0</v>
      </c>
      <c r="S6" s="4">
        <f t="shared" si="8"/>
        <v>0</v>
      </c>
      <c r="T6" s="4">
        <f t="shared" si="9"/>
        <v>0</v>
      </c>
      <c r="U6" s="4">
        <f>IF(K28&gt;0, K6/K28, 0)</f>
        <v>0.98898145659768877</v>
      </c>
    </row>
    <row r="7" spans="1:21" x14ac:dyDescent="0.25">
      <c r="A7" t="s">
        <v>164</v>
      </c>
      <c r="B7" s="2">
        <v>0</v>
      </c>
      <c r="C7" s="2">
        <v>0</v>
      </c>
      <c r="D7" s="2">
        <v>2</v>
      </c>
      <c r="E7" s="2">
        <v>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f t="shared" si="0"/>
        <v>4</v>
      </c>
      <c r="L7" s="4">
        <f t="shared" si="1"/>
        <v>0</v>
      </c>
      <c r="M7" s="4">
        <f t="shared" si="2"/>
        <v>0</v>
      </c>
      <c r="N7" s="4">
        <f t="shared" si="3"/>
        <v>0.5</v>
      </c>
      <c r="O7" s="4">
        <f t="shared" si="4"/>
        <v>0.5</v>
      </c>
      <c r="P7" s="4">
        <f t="shared" si="5"/>
        <v>0</v>
      </c>
      <c r="Q7" s="4">
        <f t="shared" si="6"/>
        <v>0</v>
      </c>
      <c r="R7" s="4">
        <f t="shared" si="7"/>
        <v>0</v>
      </c>
      <c r="S7" s="4">
        <f t="shared" si="8"/>
        <v>0</v>
      </c>
      <c r="T7" s="4">
        <f t="shared" si="9"/>
        <v>0</v>
      </c>
      <c r="U7" s="4">
        <f>IF(K28&gt;0, K7/K28, 0)</f>
        <v>5.3748992206396125E-4</v>
      </c>
    </row>
    <row r="8" spans="1:21" x14ac:dyDescent="0.25">
      <c r="A8" t="s">
        <v>166</v>
      </c>
      <c r="B8" s="2">
        <v>0</v>
      </c>
      <c r="C8" s="2">
        <v>0</v>
      </c>
      <c r="D8" s="2">
        <v>17</v>
      </c>
      <c r="E8" s="2">
        <v>6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f t="shared" si="0"/>
        <v>23</v>
      </c>
      <c r="L8" s="4">
        <f t="shared" si="1"/>
        <v>0</v>
      </c>
      <c r="M8" s="4">
        <f t="shared" si="2"/>
        <v>0</v>
      </c>
      <c r="N8" s="4">
        <f t="shared" si="3"/>
        <v>0.73913043478260865</v>
      </c>
      <c r="O8" s="4">
        <f t="shared" si="4"/>
        <v>0.2608695652173913</v>
      </c>
      <c r="P8" s="4">
        <f t="shared" si="5"/>
        <v>0</v>
      </c>
      <c r="Q8" s="4">
        <f t="shared" si="6"/>
        <v>0</v>
      </c>
      <c r="R8" s="4">
        <f t="shared" si="7"/>
        <v>0</v>
      </c>
      <c r="S8" s="4">
        <f t="shared" si="8"/>
        <v>0</v>
      </c>
      <c r="T8" s="4">
        <f t="shared" si="9"/>
        <v>0</v>
      </c>
      <c r="U8" s="4">
        <f>IF(K28&gt;0, K8/K28, 0)</f>
        <v>3.0905670518677777E-3</v>
      </c>
    </row>
    <row r="9" spans="1:21" x14ac:dyDescent="0.25">
      <c r="A9" t="s">
        <v>168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f t="shared" si="0"/>
        <v>0</v>
      </c>
      <c r="L9" s="4">
        <f t="shared" si="1"/>
        <v>0</v>
      </c>
      <c r="M9" s="4">
        <f t="shared" si="2"/>
        <v>0</v>
      </c>
      <c r="N9" s="4">
        <f t="shared" si="3"/>
        <v>0</v>
      </c>
      <c r="O9" s="4">
        <f t="shared" si="4"/>
        <v>0</v>
      </c>
      <c r="P9" s="4">
        <f t="shared" si="5"/>
        <v>0</v>
      </c>
      <c r="Q9" s="4">
        <f t="shared" si="6"/>
        <v>0</v>
      </c>
      <c r="R9" s="4">
        <f t="shared" si="7"/>
        <v>0</v>
      </c>
      <c r="S9" s="4">
        <f t="shared" si="8"/>
        <v>0</v>
      </c>
      <c r="T9" s="4">
        <f t="shared" si="9"/>
        <v>0</v>
      </c>
      <c r="U9" s="4">
        <f>IF(K28&gt;0, K9/K28, 0)</f>
        <v>0</v>
      </c>
    </row>
    <row r="10" spans="1:21" x14ac:dyDescent="0.25">
      <c r="A10" t="s">
        <v>170</v>
      </c>
      <c r="B10" s="2">
        <v>0</v>
      </c>
      <c r="C10" s="2">
        <v>2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f t="shared" si="0"/>
        <v>3</v>
      </c>
      <c r="L10" s="4">
        <f t="shared" si="1"/>
        <v>0</v>
      </c>
      <c r="M10" s="4">
        <f t="shared" si="2"/>
        <v>0.66666666666666663</v>
      </c>
      <c r="N10" s="4">
        <f t="shared" si="3"/>
        <v>0.33333333333333331</v>
      </c>
      <c r="O10" s="4">
        <f t="shared" si="4"/>
        <v>0</v>
      </c>
      <c r="P10" s="4">
        <f t="shared" si="5"/>
        <v>0</v>
      </c>
      <c r="Q10" s="4">
        <f t="shared" si="6"/>
        <v>0</v>
      </c>
      <c r="R10" s="4">
        <f t="shared" si="7"/>
        <v>0</v>
      </c>
      <c r="S10" s="4">
        <f t="shared" si="8"/>
        <v>0</v>
      </c>
      <c r="T10" s="4">
        <f t="shared" si="9"/>
        <v>0</v>
      </c>
      <c r="U10" s="4">
        <f>IF(K28&gt;0, K10/K28, 0)</f>
        <v>4.0311744154797097E-4</v>
      </c>
    </row>
    <row r="11" spans="1:21" x14ac:dyDescent="0.25">
      <c r="A11" t="s">
        <v>172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f t="shared" si="0"/>
        <v>0</v>
      </c>
      <c r="L11" s="4">
        <f t="shared" si="1"/>
        <v>0</v>
      </c>
      <c r="M11" s="4">
        <f t="shared" si="2"/>
        <v>0</v>
      </c>
      <c r="N11" s="4">
        <f t="shared" si="3"/>
        <v>0</v>
      </c>
      <c r="O11" s="4">
        <f t="shared" si="4"/>
        <v>0</v>
      </c>
      <c r="P11" s="4">
        <f t="shared" si="5"/>
        <v>0</v>
      </c>
      <c r="Q11" s="4">
        <f t="shared" si="6"/>
        <v>0</v>
      </c>
      <c r="R11" s="4">
        <f t="shared" si="7"/>
        <v>0</v>
      </c>
      <c r="S11" s="4">
        <f t="shared" si="8"/>
        <v>0</v>
      </c>
      <c r="T11" s="4">
        <f t="shared" si="9"/>
        <v>0</v>
      </c>
      <c r="U11" s="4">
        <f>IF(K28&gt;0, K11/K28, 0)</f>
        <v>0</v>
      </c>
    </row>
    <row r="12" spans="1:21" x14ac:dyDescent="0.25">
      <c r="A12" t="s">
        <v>174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f t="shared" si="0"/>
        <v>0</v>
      </c>
      <c r="L12" s="4">
        <f t="shared" si="1"/>
        <v>0</v>
      </c>
      <c r="M12" s="4">
        <f t="shared" si="2"/>
        <v>0</v>
      </c>
      <c r="N12" s="4">
        <f t="shared" si="3"/>
        <v>0</v>
      </c>
      <c r="O12" s="4">
        <f t="shared" si="4"/>
        <v>0</v>
      </c>
      <c r="P12" s="4">
        <f t="shared" si="5"/>
        <v>0</v>
      </c>
      <c r="Q12" s="4">
        <f t="shared" si="6"/>
        <v>0</v>
      </c>
      <c r="R12" s="4">
        <f t="shared" si="7"/>
        <v>0</v>
      </c>
      <c r="S12" s="4">
        <f t="shared" si="8"/>
        <v>0</v>
      </c>
      <c r="T12" s="4">
        <f t="shared" si="9"/>
        <v>0</v>
      </c>
      <c r="U12" s="4">
        <f>IF(K28&gt;0, K12/K28, 0)</f>
        <v>0</v>
      </c>
    </row>
    <row r="13" spans="1:21" x14ac:dyDescent="0.25">
      <c r="A13" t="s">
        <v>176</v>
      </c>
      <c r="B13" s="2">
        <v>0</v>
      </c>
      <c r="C13" s="2">
        <v>3</v>
      </c>
      <c r="D13" s="2">
        <v>7</v>
      </c>
      <c r="E13" s="2">
        <v>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f t="shared" si="0"/>
        <v>13</v>
      </c>
      <c r="L13" s="4">
        <f t="shared" si="1"/>
        <v>0</v>
      </c>
      <c r="M13" s="4">
        <f t="shared" si="2"/>
        <v>0.23076923076923078</v>
      </c>
      <c r="N13" s="4">
        <f t="shared" si="3"/>
        <v>0.53846153846153844</v>
      </c>
      <c r="O13" s="4">
        <f t="shared" si="4"/>
        <v>0.23076923076923078</v>
      </c>
      <c r="P13" s="4">
        <f t="shared" si="5"/>
        <v>0</v>
      </c>
      <c r="Q13" s="4">
        <f t="shared" si="6"/>
        <v>0</v>
      </c>
      <c r="R13" s="4">
        <f t="shared" si="7"/>
        <v>0</v>
      </c>
      <c r="S13" s="4">
        <f t="shared" si="8"/>
        <v>0</v>
      </c>
      <c r="T13" s="4">
        <f t="shared" si="9"/>
        <v>0</v>
      </c>
      <c r="U13" s="4">
        <f>IF(K28&gt;0, K13/K28, 0)</f>
        <v>1.7468422467078742E-3</v>
      </c>
    </row>
    <row r="14" spans="1:21" x14ac:dyDescent="0.25">
      <c r="A14" t="s">
        <v>177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f t="shared" si="0"/>
        <v>0</v>
      </c>
      <c r="L14" s="4">
        <f t="shared" si="1"/>
        <v>0</v>
      </c>
      <c r="M14" s="4">
        <f t="shared" si="2"/>
        <v>0</v>
      </c>
      <c r="N14" s="4">
        <f t="shared" si="3"/>
        <v>0</v>
      </c>
      <c r="O14" s="4">
        <f t="shared" si="4"/>
        <v>0</v>
      </c>
      <c r="P14" s="4">
        <f t="shared" si="5"/>
        <v>0</v>
      </c>
      <c r="Q14" s="4">
        <f t="shared" si="6"/>
        <v>0</v>
      </c>
      <c r="R14" s="4">
        <f t="shared" si="7"/>
        <v>0</v>
      </c>
      <c r="S14" s="4">
        <f t="shared" si="8"/>
        <v>0</v>
      </c>
      <c r="T14" s="4">
        <f t="shared" si="9"/>
        <v>0</v>
      </c>
      <c r="U14" s="4">
        <f>IF(K28&gt;0, K14/K28, 0)</f>
        <v>0</v>
      </c>
    </row>
    <row r="15" spans="1:21" x14ac:dyDescent="0.25">
      <c r="A15" t="s">
        <v>178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f t="shared" si="0"/>
        <v>0</v>
      </c>
      <c r="L15" s="4">
        <f t="shared" si="1"/>
        <v>0</v>
      </c>
      <c r="M15" s="4">
        <f t="shared" si="2"/>
        <v>0</v>
      </c>
      <c r="N15" s="4">
        <f t="shared" si="3"/>
        <v>0</v>
      </c>
      <c r="O15" s="4">
        <f t="shared" si="4"/>
        <v>0</v>
      </c>
      <c r="P15" s="4">
        <f t="shared" si="5"/>
        <v>0</v>
      </c>
      <c r="Q15" s="4">
        <f t="shared" si="6"/>
        <v>0</v>
      </c>
      <c r="R15" s="4">
        <f t="shared" si="7"/>
        <v>0</v>
      </c>
      <c r="S15" s="4">
        <f t="shared" si="8"/>
        <v>0</v>
      </c>
      <c r="T15" s="4">
        <f t="shared" si="9"/>
        <v>0</v>
      </c>
      <c r="U15" s="4">
        <f>IF(K28&gt;0, K15/K28, 0)</f>
        <v>0</v>
      </c>
    </row>
    <row r="16" spans="1:21" x14ac:dyDescent="0.25">
      <c r="A16" t="s">
        <v>179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f t="shared" si="0"/>
        <v>0</v>
      </c>
      <c r="L16" s="4">
        <f t="shared" si="1"/>
        <v>0</v>
      </c>
      <c r="M16" s="4">
        <f t="shared" si="2"/>
        <v>0</v>
      </c>
      <c r="N16" s="4">
        <f t="shared" si="3"/>
        <v>0</v>
      </c>
      <c r="O16" s="4">
        <f t="shared" si="4"/>
        <v>0</v>
      </c>
      <c r="P16" s="4">
        <f t="shared" si="5"/>
        <v>0</v>
      </c>
      <c r="Q16" s="4">
        <f t="shared" si="6"/>
        <v>0</v>
      </c>
      <c r="R16" s="4">
        <f t="shared" si="7"/>
        <v>0</v>
      </c>
      <c r="S16" s="4">
        <f t="shared" si="8"/>
        <v>0</v>
      </c>
      <c r="T16" s="4">
        <f t="shared" si="9"/>
        <v>0</v>
      </c>
      <c r="U16" s="4">
        <f>IF(K28&gt;0, K16/K28, 0)</f>
        <v>0</v>
      </c>
    </row>
    <row r="17" spans="1:21" x14ac:dyDescent="0.25">
      <c r="A17" t="s">
        <v>180</v>
      </c>
      <c r="B17" s="2">
        <v>0</v>
      </c>
      <c r="C17" s="2">
        <v>4</v>
      </c>
      <c r="D17" s="2">
        <v>4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f t="shared" si="0"/>
        <v>8</v>
      </c>
      <c r="L17" s="4">
        <f t="shared" si="1"/>
        <v>0</v>
      </c>
      <c r="M17" s="4">
        <f t="shared" si="2"/>
        <v>0.5</v>
      </c>
      <c r="N17" s="4">
        <f t="shared" si="3"/>
        <v>0.5</v>
      </c>
      <c r="O17" s="4">
        <f t="shared" si="4"/>
        <v>0</v>
      </c>
      <c r="P17" s="4">
        <f t="shared" si="5"/>
        <v>0</v>
      </c>
      <c r="Q17" s="4">
        <f t="shared" si="6"/>
        <v>0</v>
      </c>
      <c r="R17" s="4">
        <f t="shared" si="7"/>
        <v>0</v>
      </c>
      <c r="S17" s="4">
        <f t="shared" si="8"/>
        <v>0</v>
      </c>
      <c r="T17" s="4">
        <f t="shared" si="9"/>
        <v>0</v>
      </c>
      <c r="U17" s="4">
        <f>IF(K28&gt;0, K17/K28, 0)</f>
        <v>1.0749798441279225E-3</v>
      </c>
    </row>
    <row r="18" spans="1:21" x14ac:dyDescent="0.25">
      <c r="A18" t="s">
        <v>181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f t="shared" si="0"/>
        <v>0</v>
      </c>
      <c r="L18" s="4">
        <f t="shared" si="1"/>
        <v>0</v>
      </c>
      <c r="M18" s="4">
        <f t="shared" si="2"/>
        <v>0</v>
      </c>
      <c r="N18" s="4">
        <f t="shared" si="3"/>
        <v>0</v>
      </c>
      <c r="O18" s="4">
        <f t="shared" si="4"/>
        <v>0</v>
      </c>
      <c r="P18" s="4">
        <f t="shared" si="5"/>
        <v>0</v>
      </c>
      <c r="Q18" s="4">
        <f t="shared" si="6"/>
        <v>0</v>
      </c>
      <c r="R18" s="4">
        <f t="shared" si="7"/>
        <v>0</v>
      </c>
      <c r="S18" s="4">
        <f t="shared" si="8"/>
        <v>0</v>
      </c>
      <c r="T18" s="4">
        <f t="shared" si="9"/>
        <v>0</v>
      </c>
      <c r="U18" s="4">
        <f>IF(K28&gt;0, K18/K28, 0)</f>
        <v>0</v>
      </c>
    </row>
    <row r="19" spans="1:21" x14ac:dyDescent="0.25">
      <c r="A19" t="s">
        <v>182</v>
      </c>
      <c r="B19" s="2">
        <v>0</v>
      </c>
      <c r="C19" s="2">
        <v>1</v>
      </c>
      <c r="D19" s="2">
        <v>1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f t="shared" si="0"/>
        <v>3</v>
      </c>
      <c r="L19" s="4">
        <f t="shared" si="1"/>
        <v>0</v>
      </c>
      <c r="M19" s="4">
        <f t="shared" si="2"/>
        <v>0.33333333333333331</v>
      </c>
      <c r="N19" s="4">
        <f t="shared" si="3"/>
        <v>0.33333333333333331</v>
      </c>
      <c r="O19" s="4">
        <f t="shared" si="4"/>
        <v>0.33333333333333331</v>
      </c>
      <c r="P19" s="4">
        <f t="shared" si="5"/>
        <v>0</v>
      </c>
      <c r="Q19" s="4">
        <f t="shared" si="6"/>
        <v>0</v>
      </c>
      <c r="R19" s="4">
        <f t="shared" si="7"/>
        <v>0</v>
      </c>
      <c r="S19" s="4">
        <f t="shared" si="8"/>
        <v>0</v>
      </c>
      <c r="T19" s="4">
        <f t="shared" si="9"/>
        <v>0</v>
      </c>
      <c r="U19" s="4">
        <f>IF(K28&gt;0, K19/K28, 0)</f>
        <v>4.0311744154797097E-4</v>
      </c>
    </row>
    <row r="20" spans="1:21" x14ac:dyDescent="0.25">
      <c r="A20" t="s">
        <v>183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f t="shared" si="0"/>
        <v>0</v>
      </c>
      <c r="L20" s="4">
        <f t="shared" si="1"/>
        <v>0</v>
      </c>
      <c r="M20" s="4">
        <f t="shared" si="2"/>
        <v>0</v>
      </c>
      <c r="N20" s="4">
        <f t="shared" si="3"/>
        <v>0</v>
      </c>
      <c r="O20" s="4">
        <f t="shared" si="4"/>
        <v>0</v>
      </c>
      <c r="P20" s="4">
        <f t="shared" si="5"/>
        <v>0</v>
      </c>
      <c r="Q20" s="4">
        <f t="shared" si="6"/>
        <v>0</v>
      </c>
      <c r="R20" s="4">
        <f t="shared" si="7"/>
        <v>0</v>
      </c>
      <c r="S20" s="4">
        <f t="shared" si="8"/>
        <v>0</v>
      </c>
      <c r="T20" s="4">
        <f t="shared" si="9"/>
        <v>0</v>
      </c>
      <c r="U20" s="4">
        <f>IF(K28&gt;0, K20/K28, 0)</f>
        <v>0</v>
      </c>
    </row>
    <row r="21" spans="1:21" x14ac:dyDescent="0.25">
      <c r="A21" t="s">
        <v>184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f t="shared" si="0"/>
        <v>0</v>
      </c>
      <c r="L21" s="4">
        <f t="shared" si="1"/>
        <v>0</v>
      </c>
      <c r="M21" s="4">
        <f t="shared" si="2"/>
        <v>0</v>
      </c>
      <c r="N21" s="4">
        <f t="shared" si="3"/>
        <v>0</v>
      </c>
      <c r="O21" s="4">
        <f t="shared" si="4"/>
        <v>0</v>
      </c>
      <c r="P21" s="4">
        <f t="shared" si="5"/>
        <v>0</v>
      </c>
      <c r="Q21" s="4">
        <f t="shared" si="6"/>
        <v>0</v>
      </c>
      <c r="R21" s="4">
        <f t="shared" si="7"/>
        <v>0</v>
      </c>
      <c r="S21" s="4">
        <f t="shared" si="8"/>
        <v>0</v>
      </c>
      <c r="T21" s="4">
        <f t="shared" si="9"/>
        <v>0</v>
      </c>
      <c r="U21" s="4">
        <f>IF(K28&gt;0, K21/K28, 0)</f>
        <v>0</v>
      </c>
    </row>
    <row r="22" spans="1:21" x14ac:dyDescent="0.25">
      <c r="A22" t="s">
        <v>185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f t="shared" si="0"/>
        <v>0</v>
      </c>
      <c r="L22" s="4">
        <f t="shared" si="1"/>
        <v>0</v>
      </c>
      <c r="M22" s="4">
        <f t="shared" si="2"/>
        <v>0</v>
      </c>
      <c r="N22" s="4">
        <f t="shared" si="3"/>
        <v>0</v>
      </c>
      <c r="O22" s="4">
        <f t="shared" si="4"/>
        <v>0</v>
      </c>
      <c r="P22" s="4">
        <f t="shared" si="5"/>
        <v>0</v>
      </c>
      <c r="Q22" s="4">
        <f t="shared" si="6"/>
        <v>0</v>
      </c>
      <c r="R22" s="4">
        <f t="shared" si="7"/>
        <v>0</v>
      </c>
      <c r="S22" s="4">
        <f t="shared" si="8"/>
        <v>0</v>
      </c>
      <c r="T22" s="4">
        <f t="shared" si="9"/>
        <v>0</v>
      </c>
      <c r="U22" s="4">
        <f>IF(K28&gt;0, K22/K28, 0)</f>
        <v>0</v>
      </c>
    </row>
    <row r="23" spans="1:21" x14ac:dyDescent="0.25">
      <c r="A23" t="s">
        <v>186</v>
      </c>
      <c r="B23" s="2">
        <v>0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f t="shared" si="0"/>
        <v>2</v>
      </c>
      <c r="L23" s="4">
        <f t="shared" si="1"/>
        <v>0</v>
      </c>
      <c r="M23" s="4">
        <f t="shared" si="2"/>
        <v>1</v>
      </c>
      <c r="N23" s="4">
        <f t="shared" si="3"/>
        <v>0</v>
      </c>
      <c r="O23" s="4">
        <f t="shared" si="4"/>
        <v>0</v>
      </c>
      <c r="P23" s="4">
        <f t="shared" si="5"/>
        <v>0</v>
      </c>
      <c r="Q23" s="4">
        <f t="shared" si="6"/>
        <v>0</v>
      </c>
      <c r="R23" s="4">
        <f t="shared" si="7"/>
        <v>0</v>
      </c>
      <c r="S23" s="4">
        <f t="shared" si="8"/>
        <v>0</v>
      </c>
      <c r="T23" s="4">
        <f t="shared" si="9"/>
        <v>0</v>
      </c>
      <c r="U23" s="4">
        <f>IF(K28&gt;0, K23/K28, 0)</f>
        <v>2.6874496103198063E-4</v>
      </c>
    </row>
    <row r="24" spans="1:21" x14ac:dyDescent="0.25">
      <c r="A24" t="s">
        <v>187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f t="shared" si="0"/>
        <v>0</v>
      </c>
      <c r="L24" s="4">
        <f t="shared" si="1"/>
        <v>0</v>
      </c>
      <c r="M24" s="4">
        <f t="shared" si="2"/>
        <v>0</v>
      </c>
      <c r="N24" s="4">
        <f t="shared" si="3"/>
        <v>0</v>
      </c>
      <c r="O24" s="4">
        <f t="shared" si="4"/>
        <v>0</v>
      </c>
      <c r="P24" s="4">
        <f t="shared" si="5"/>
        <v>0</v>
      </c>
      <c r="Q24" s="4">
        <f t="shared" si="6"/>
        <v>0</v>
      </c>
      <c r="R24" s="4">
        <f t="shared" si="7"/>
        <v>0</v>
      </c>
      <c r="S24" s="4">
        <f t="shared" si="8"/>
        <v>0</v>
      </c>
      <c r="T24" s="4">
        <f t="shared" si="9"/>
        <v>0</v>
      </c>
      <c r="U24" s="4">
        <f>IF(K28&gt;0, K24/K28, 0)</f>
        <v>0</v>
      </c>
    </row>
    <row r="25" spans="1:21" x14ac:dyDescent="0.25">
      <c r="A25" t="s">
        <v>188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f t="shared" si="0"/>
        <v>0</v>
      </c>
      <c r="L25" s="4">
        <f t="shared" si="1"/>
        <v>0</v>
      </c>
      <c r="M25" s="4">
        <f t="shared" si="2"/>
        <v>0</v>
      </c>
      <c r="N25" s="4">
        <f t="shared" si="3"/>
        <v>0</v>
      </c>
      <c r="O25" s="4">
        <f t="shared" si="4"/>
        <v>0</v>
      </c>
      <c r="P25" s="4">
        <f t="shared" si="5"/>
        <v>0</v>
      </c>
      <c r="Q25" s="4">
        <f t="shared" si="6"/>
        <v>0</v>
      </c>
      <c r="R25" s="4">
        <f t="shared" si="7"/>
        <v>0</v>
      </c>
      <c r="S25" s="4">
        <f t="shared" si="8"/>
        <v>0</v>
      </c>
      <c r="T25" s="4">
        <f t="shared" si="9"/>
        <v>0</v>
      </c>
      <c r="U25" s="4">
        <f>IF(K28&gt;0, K25/K28, 0)</f>
        <v>0</v>
      </c>
    </row>
    <row r="26" spans="1:21" x14ac:dyDescent="0.25">
      <c r="A26" t="s">
        <v>189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f t="shared" si="0"/>
        <v>0</v>
      </c>
      <c r="L26" s="4">
        <f t="shared" si="1"/>
        <v>0</v>
      </c>
      <c r="M26" s="4">
        <f t="shared" si="2"/>
        <v>0</v>
      </c>
      <c r="N26" s="4">
        <f t="shared" si="3"/>
        <v>0</v>
      </c>
      <c r="O26" s="4">
        <f t="shared" si="4"/>
        <v>0</v>
      </c>
      <c r="P26" s="4">
        <f t="shared" si="5"/>
        <v>0</v>
      </c>
      <c r="Q26" s="4">
        <f t="shared" si="6"/>
        <v>0</v>
      </c>
      <c r="R26" s="4">
        <f t="shared" si="7"/>
        <v>0</v>
      </c>
      <c r="S26" s="4">
        <f t="shared" si="8"/>
        <v>0</v>
      </c>
      <c r="T26" s="4">
        <f t="shared" si="9"/>
        <v>0</v>
      </c>
      <c r="U26" s="4">
        <f>IF(K28&gt;0, K26/K28, 0)</f>
        <v>0</v>
      </c>
    </row>
    <row r="27" spans="1:21" x14ac:dyDescent="0.25">
      <c r="A27" t="s">
        <v>190</v>
      </c>
      <c r="B27" s="2">
        <v>0</v>
      </c>
      <c r="C27" s="2">
        <v>0</v>
      </c>
      <c r="D27" s="2">
        <v>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f t="shared" si="0"/>
        <v>2</v>
      </c>
      <c r="L27" s="4">
        <f t="shared" si="1"/>
        <v>0</v>
      </c>
      <c r="M27" s="4">
        <f t="shared" si="2"/>
        <v>0</v>
      </c>
      <c r="N27" s="4">
        <f t="shared" si="3"/>
        <v>1</v>
      </c>
      <c r="O27" s="4">
        <f t="shared" si="4"/>
        <v>0</v>
      </c>
      <c r="P27" s="4">
        <f t="shared" si="5"/>
        <v>0</v>
      </c>
      <c r="Q27" s="4">
        <f t="shared" si="6"/>
        <v>0</v>
      </c>
      <c r="R27" s="4">
        <f t="shared" si="7"/>
        <v>0</v>
      </c>
      <c r="S27" s="4">
        <f t="shared" si="8"/>
        <v>0</v>
      </c>
      <c r="T27" s="4">
        <f t="shared" si="9"/>
        <v>0</v>
      </c>
      <c r="U27" s="4">
        <f>IF(K28&gt;0, K27/K28, 0)</f>
        <v>2.6874496103198063E-4</v>
      </c>
    </row>
    <row r="28" spans="1:21" x14ac:dyDescent="0.25">
      <c r="A28" t="s">
        <v>175</v>
      </c>
      <c r="B28" s="2">
        <f>SUBTOTAL(109,TabelleAnzahlObjekte[0 - 1 '[mm']])</f>
        <v>2</v>
      </c>
      <c r="C28" s="2">
        <f>SUBTOTAL(109,TabelleAnzahlObjekte[1 - 2,5 '[mm']])</f>
        <v>296</v>
      </c>
      <c r="D28" s="2">
        <f>SUBTOTAL(109,TabelleAnzahlObjekte[2,5 - 5 '[mm']])</f>
        <v>2516</v>
      </c>
      <c r="E28" s="2">
        <f>SUBTOTAL(109,TabelleAnzahlObjekte[5 - 7,5 '[mm']])</f>
        <v>4414</v>
      </c>
      <c r="F28" s="2">
        <f>SUBTOTAL(109,TabelleAnzahlObjekte[7,5 - 10 '[mm']])</f>
        <v>214</v>
      </c>
      <c r="G28" s="2">
        <f>SUBTOTAL(109,TabelleAnzahlObjekte[10 - 15 '[mm']])</f>
        <v>0</v>
      </c>
      <c r="H28" s="2">
        <f>SUBTOTAL(109,TabelleAnzahlObjekte[15 - 20 '[mm']])</f>
        <v>0</v>
      </c>
      <c r="I28" s="2">
        <f>SUBTOTAL(109,TabelleAnzahlObjekte[20 - 30 '[mm']])</f>
        <v>0</v>
      </c>
      <c r="J28" s="2">
        <f>SUBTOTAL(109,TabelleAnzahlObjekte[&gt; 30 '[mm']])</f>
        <v>0</v>
      </c>
      <c r="K28" s="2">
        <f>SUBTOTAL(109,TabelleAnzahlObjekte[Summe '[mm']])</f>
        <v>7442</v>
      </c>
      <c r="L28" s="4">
        <f>IF(K28&gt; 0, B28/K28, 0)</f>
        <v>2.6874496103198063E-4</v>
      </c>
      <c r="M28" s="4">
        <f>IF(K28&gt; 0, C28/K28, 0)</f>
        <v>3.9774254232733133E-2</v>
      </c>
      <c r="N28" s="4">
        <f>IF(K28&gt; 0, D28/K28, 0)</f>
        <v>0.33808116097823165</v>
      </c>
      <c r="O28" s="4">
        <f>IF(K28&gt; 0, E28/K28, 0)</f>
        <v>0.59312012899758126</v>
      </c>
      <c r="P28" s="4">
        <f>IF(K28&gt; 0, F28/K28, 0)</f>
        <v>2.8755710830421929E-2</v>
      </c>
      <c r="Q28" s="4">
        <f>IF(K28&gt; 0, G28/K28, 0)</f>
        <v>0</v>
      </c>
      <c r="R28" s="4">
        <f>IF(K28&gt; 0, H28/K28, 0)</f>
        <v>0</v>
      </c>
      <c r="S28" s="4">
        <f>IF(K28&gt; 0, I28/K28, 0)</f>
        <v>0</v>
      </c>
      <c r="T28" s="4">
        <f>IF(K28&gt; 0, J28/K28, 0)</f>
        <v>0</v>
      </c>
      <c r="U28" s="4">
        <f>SUBTOTAL(109,TabelleAnzahlObjekte[Summe '[%']])</f>
        <v>1</v>
      </c>
    </row>
    <row r="31" spans="1:21" x14ac:dyDescent="0.25">
      <c r="A31" s="5" t="s">
        <v>213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t="s">
        <v>146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199</v>
      </c>
      <c r="I32" t="s">
        <v>200</v>
      </c>
      <c r="J32" t="s">
        <v>201</v>
      </c>
      <c r="K32" t="s">
        <v>202</v>
      </c>
      <c r="L32" t="s">
        <v>203</v>
      </c>
      <c r="M32" t="s">
        <v>204</v>
      </c>
      <c r="N32" t="s">
        <v>205</v>
      </c>
      <c r="O32" t="s">
        <v>206</v>
      </c>
      <c r="P32" t="s">
        <v>207</v>
      </c>
      <c r="Q32" t="s">
        <v>208</v>
      </c>
      <c r="R32" t="s">
        <v>209</v>
      </c>
      <c r="S32" t="s">
        <v>210</v>
      </c>
      <c r="T32" t="s">
        <v>211</v>
      </c>
      <c r="U32" t="s">
        <v>212</v>
      </c>
    </row>
    <row r="33" spans="1:21" x14ac:dyDescent="0.25">
      <c r="A33" t="s">
        <v>156</v>
      </c>
      <c r="B33" s="3">
        <v>0</v>
      </c>
      <c r="C33" s="3">
        <v>8.1999999999999993</v>
      </c>
      <c r="D33" s="3">
        <v>232.1</v>
      </c>
      <c r="E33" s="3">
        <v>88.6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f t="shared" ref="K33:K57" si="10">SUM(B33:J33)</f>
        <v>328.9</v>
      </c>
      <c r="L33" s="4">
        <f t="shared" ref="L33:L57" si="11">IF(K33&gt;0, B33/K33,0)</f>
        <v>0</v>
      </c>
      <c r="M33" s="4">
        <f t="shared" ref="M33:M57" si="12">IF(K33&gt;0, C33/K33,0)</f>
        <v>2.4931590148981452E-2</v>
      </c>
      <c r="N33" s="4">
        <f t="shared" ref="N33:N57" si="13">IF(K33&gt;0, D33/K33,0)</f>
        <v>0.70568561872909707</v>
      </c>
      <c r="O33" s="4">
        <f t="shared" ref="O33:O57" si="14">IF(K33&gt;0, E33/K33,0)</f>
        <v>0.26938279112192154</v>
      </c>
      <c r="P33" s="4">
        <f t="shared" ref="P33:P57" si="15">IF(K33&gt;0, F33/K33,0)</f>
        <v>0</v>
      </c>
      <c r="Q33" s="4">
        <f t="shared" ref="Q33:Q57" si="16">IF(K33&gt;0, G33/K33,0)</f>
        <v>0</v>
      </c>
      <c r="R33" s="4">
        <f t="shared" ref="R33:R57" si="17">IF(K33&gt;0, H33/K33,0)</f>
        <v>0</v>
      </c>
      <c r="S33" s="4">
        <f t="shared" ref="S33:S57" si="18">IF(K33&gt;0, I33/K33,0)</f>
        <v>0</v>
      </c>
      <c r="T33" s="4">
        <f t="shared" ref="T33:T57" si="19">IF(K33&gt;0, J33/K33,0)</f>
        <v>0</v>
      </c>
      <c r="U33" s="4">
        <f>IF(K58&gt;0, K33/K58, 0)</f>
        <v>8.8755472332120863E-4</v>
      </c>
    </row>
    <row r="34" spans="1:21" x14ac:dyDescent="0.25">
      <c r="A34" t="s">
        <v>158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 t="shared" si="10"/>
        <v>0</v>
      </c>
      <c r="L34" s="4">
        <f t="shared" si="11"/>
        <v>0</v>
      </c>
      <c r="M34" s="4">
        <f t="shared" si="12"/>
        <v>0</v>
      </c>
      <c r="N34" s="4">
        <f t="shared" si="13"/>
        <v>0</v>
      </c>
      <c r="O34" s="4">
        <f t="shared" si="14"/>
        <v>0</v>
      </c>
      <c r="P34" s="4">
        <f t="shared" si="15"/>
        <v>0</v>
      </c>
      <c r="Q34" s="4">
        <f t="shared" si="16"/>
        <v>0</v>
      </c>
      <c r="R34" s="4">
        <f t="shared" si="17"/>
        <v>0</v>
      </c>
      <c r="S34" s="4">
        <f t="shared" si="18"/>
        <v>0</v>
      </c>
      <c r="T34" s="4">
        <f t="shared" si="19"/>
        <v>0</v>
      </c>
      <c r="U34" s="4">
        <f>IF(K58&gt;0, K34/K58, 0)</f>
        <v>0</v>
      </c>
    </row>
    <row r="35" spans="1:21" x14ac:dyDescent="0.25">
      <c r="A35" t="s">
        <v>160</v>
      </c>
      <c r="B35" s="3">
        <v>0</v>
      </c>
      <c r="C35" s="3">
        <v>19.5</v>
      </c>
      <c r="D35" s="3">
        <v>124</v>
      </c>
      <c r="E35" s="3">
        <v>398.1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f t="shared" si="10"/>
        <v>541.6</v>
      </c>
      <c r="L35" s="4">
        <f t="shared" si="11"/>
        <v>0</v>
      </c>
      <c r="M35" s="4">
        <f t="shared" si="12"/>
        <v>3.6004431314623338E-2</v>
      </c>
      <c r="N35" s="4">
        <f t="shared" si="13"/>
        <v>0.22895125553914328</v>
      </c>
      <c r="O35" s="4">
        <f t="shared" si="14"/>
        <v>0.73504431314623342</v>
      </c>
      <c r="P35" s="4">
        <f t="shared" si="15"/>
        <v>0</v>
      </c>
      <c r="Q35" s="4">
        <f t="shared" si="16"/>
        <v>0</v>
      </c>
      <c r="R35" s="4">
        <f t="shared" si="17"/>
        <v>0</v>
      </c>
      <c r="S35" s="4">
        <f t="shared" si="18"/>
        <v>0</v>
      </c>
      <c r="T35" s="4">
        <f t="shared" si="19"/>
        <v>0</v>
      </c>
      <c r="U35" s="4">
        <f>IF(K58&gt;0, K35/K58, 0)</f>
        <v>1.4615373613583661E-3</v>
      </c>
    </row>
    <row r="36" spans="1:21" x14ac:dyDescent="0.25">
      <c r="A36" t="s">
        <v>162</v>
      </c>
      <c r="B36" s="3">
        <v>2.8</v>
      </c>
      <c r="C36" s="3">
        <v>2003.5</v>
      </c>
      <c r="D36" s="3">
        <v>72843</v>
      </c>
      <c r="E36" s="3">
        <v>270628.7</v>
      </c>
      <c r="F36" s="3">
        <v>22482.1</v>
      </c>
      <c r="G36" s="3">
        <v>0</v>
      </c>
      <c r="H36" s="3">
        <v>0</v>
      </c>
      <c r="I36" s="3">
        <v>0</v>
      </c>
      <c r="J36" s="3">
        <v>0</v>
      </c>
      <c r="K36" s="3">
        <f t="shared" si="10"/>
        <v>367960.1</v>
      </c>
      <c r="L36" s="4">
        <f t="shared" si="11"/>
        <v>7.6095207061852631E-6</v>
      </c>
      <c r="M36" s="4">
        <f t="shared" si="12"/>
        <v>5.4448838338722058E-3</v>
      </c>
      <c r="N36" s="4">
        <f t="shared" si="13"/>
        <v>0.19796439885737613</v>
      </c>
      <c r="O36" s="4">
        <f t="shared" si="14"/>
        <v>0.73548382012071423</v>
      </c>
      <c r="P36" s="4">
        <f t="shared" si="15"/>
        <v>6.1099287667331324E-2</v>
      </c>
      <c r="Q36" s="4">
        <f t="shared" si="16"/>
        <v>0</v>
      </c>
      <c r="R36" s="4">
        <f t="shared" si="17"/>
        <v>0</v>
      </c>
      <c r="S36" s="4">
        <f t="shared" si="18"/>
        <v>0</v>
      </c>
      <c r="T36" s="4">
        <f t="shared" si="19"/>
        <v>0</v>
      </c>
      <c r="U36" s="4">
        <f>IF(K58&gt;0, K36/K58, 0)</f>
        <v>0.99296054955531854</v>
      </c>
    </row>
    <row r="37" spans="1:21" x14ac:dyDescent="0.25">
      <c r="A37" t="s">
        <v>164</v>
      </c>
      <c r="B37" s="3">
        <v>0</v>
      </c>
      <c r="C37" s="3">
        <v>0</v>
      </c>
      <c r="D37" s="3">
        <v>48.9</v>
      </c>
      <c r="E37" s="3">
        <v>103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f t="shared" si="10"/>
        <v>151.9</v>
      </c>
      <c r="L37" s="4">
        <f t="shared" si="11"/>
        <v>0</v>
      </c>
      <c r="M37" s="4">
        <f t="shared" si="12"/>
        <v>0</v>
      </c>
      <c r="N37" s="4">
        <f t="shared" si="13"/>
        <v>0.32192231731402238</v>
      </c>
      <c r="O37" s="4">
        <f t="shared" si="14"/>
        <v>0.67807768268597757</v>
      </c>
      <c r="P37" s="4">
        <f t="shared" si="15"/>
        <v>0</v>
      </c>
      <c r="Q37" s="4">
        <f t="shared" si="16"/>
        <v>0</v>
      </c>
      <c r="R37" s="4">
        <f t="shared" si="17"/>
        <v>0</v>
      </c>
      <c r="S37" s="4">
        <f t="shared" si="18"/>
        <v>0</v>
      </c>
      <c r="T37" s="4">
        <f t="shared" si="19"/>
        <v>0</v>
      </c>
      <c r="U37" s="4">
        <f>IF(K58&gt;0, K37/K58, 0)</f>
        <v>4.0991049702794651E-4</v>
      </c>
    </row>
    <row r="38" spans="1:21" x14ac:dyDescent="0.25">
      <c r="A38" t="s">
        <v>166</v>
      </c>
      <c r="B38" s="3">
        <v>0</v>
      </c>
      <c r="C38" s="3">
        <v>0</v>
      </c>
      <c r="D38" s="3">
        <v>517.5</v>
      </c>
      <c r="E38" s="3">
        <v>359.1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f t="shared" si="10"/>
        <v>876.6</v>
      </c>
      <c r="L38" s="4">
        <f t="shared" si="11"/>
        <v>0</v>
      </c>
      <c r="M38" s="4">
        <f t="shared" si="12"/>
        <v>0</v>
      </c>
      <c r="N38" s="4">
        <f t="shared" si="13"/>
        <v>0.59034907597535935</v>
      </c>
      <c r="O38" s="4">
        <f t="shared" si="14"/>
        <v>0.40965092402464065</v>
      </c>
      <c r="P38" s="4">
        <f t="shared" si="15"/>
        <v>0</v>
      </c>
      <c r="Q38" s="4">
        <f t="shared" si="16"/>
        <v>0</v>
      </c>
      <c r="R38" s="4">
        <f t="shared" si="17"/>
        <v>0</v>
      </c>
      <c r="S38" s="4">
        <f t="shared" si="18"/>
        <v>0</v>
      </c>
      <c r="T38" s="4">
        <f t="shared" si="19"/>
        <v>0</v>
      </c>
      <c r="U38" s="4">
        <f>IF(K58&gt;0, K38/K58, 0)</f>
        <v>2.3655532698795122E-3</v>
      </c>
    </row>
    <row r="39" spans="1:21" x14ac:dyDescent="0.25">
      <c r="A39" t="s">
        <v>168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f t="shared" si="10"/>
        <v>0</v>
      </c>
      <c r="L39" s="4">
        <f t="shared" si="11"/>
        <v>0</v>
      </c>
      <c r="M39" s="4">
        <f t="shared" si="12"/>
        <v>0</v>
      </c>
      <c r="N39" s="4">
        <f t="shared" si="13"/>
        <v>0</v>
      </c>
      <c r="O39" s="4">
        <f t="shared" si="14"/>
        <v>0</v>
      </c>
      <c r="P39" s="4">
        <f t="shared" si="15"/>
        <v>0</v>
      </c>
      <c r="Q39" s="4">
        <f t="shared" si="16"/>
        <v>0</v>
      </c>
      <c r="R39" s="4">
        <f t="shared" si="17"/>
        <v>0</v>
      </c>
      <c r="S39" s="4">
        <f t="shared" si="18"/>
        <v>0</v>
      </c>
      <c r="T39" s="4">
        <f t="shared" si="19"/>
        <v>0</v>
      </c>
      <c r="U39" s="4">
        <f>IF(K58&gt;0, K39/K58, 0)</f>
        <v>0</v>
      </c>
    </row>
    <row r="40" spans="1:21" x14ac:dyDescent="0.25">
      <c r="A40" t="s">
        <v>170</v>
      </c>
      <c r="B40" s="3">
        <v>0</v>
      </c>
      <c r="C40" s="3">
        <v>8</v>
      </c>
      <c r="D40" s="3">
        <v>21.4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f t="shared" si="10"/>
        <v>29.4</v>
      </c>
      <c r="L40" s="4">
        <f t="shared" si="11"/>
        <v>0</v>
      </c>
      <c r="M40" s="4">
        <f t="shared" si="12"/>
        <v>0.27210884353741499</v>
      </c>
      <c r="N40" s="4">
        <f t="shared" si="13"/>
        <v>0.72789115646258506</v>
      </c>
      <c r="O40" s="4">
        <f t="shared" si="14"/>
        <v>0</v>
      </c>
      <c r="P40" s="4">
        <f t="shared" si="15"/>
        <v>0</v>
      </c>
      <c r="Q40" s="4">
        <f t="shared" si="16"/>
        <v>0</v>
      </c>
      <c r="R40" s="4">
        <f t="shared" si="17"/>
        <v>0</v>
      </c>
      <c r="S40" s="4">
        <f t="shared" si="18"/>
        <v>0</v>
      </c>
      <c r="T40" s="4">
        <f t="shared" si="19"/>
        <v>0</v>
      </c>
      <c r="U40" s="4">
        <f>IF(K58&gt;0, K40/K58, 0)</f>
        <v>7.9337515553796096E-5</v>
      </c>
    </row>
    <row r="41" spans="1:21" x14ac:dyDescent="0.25">
      <c r="A41" t="s">
        <v>172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f t="shared" si="10"/>
        <v>0</v>
      </c>
      <c r="L41" s="4">
        <f t="shared" si="11"/>
        <v>0</v>
      </c>
      <c r="M41" s="4">
        <f t="shared" si="12"/>
        <v>0</v>
      </c>
      <c r="N41" s="4">
        <f t="shared" si="13"/>
        <v>0</v>
      </c>
      <c r="O41" s="4">
        <f t="shared" si="14"/>
        <v>0</v>
      </c>
      <c r="P41" s="4">
        <f t="shared" si="15"/>
        <v>0</v>
      </c>
      <c r="Q41" s="4">
        <f t="shared" si="16"/>
        <v>0</v>
      </c>
      <c r="R41" s="4">
        <f t="shared" si="17"/>
        <v>0</v>
      </c>
      <c r="S41" s="4">
        <f t="shared" si="18"/>
        <v>0</v>
      </c>
      <c r="T41" s="4">
        <f t="shared" si="19"/>
        <v>0</v>
      </c>
      <c r="U41" s="4">
        <f>IF(K58&gt;0, K41/K58, 0)</f>
        <v>0</v>
      </c>
    </row>
    <row r="42" spans="1:21" x14ac:dyDescent="0.25">
      <c r="A42" t="s">
        <v>174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f t="shared" si="10"/>
        <v>0</v>
      </c>
      <c r="L42" s="4">
        <f t="shared" si="11"/>
        <v>0</v>
      </c>
      <c r="M42" s="4">
        <f t="shared" si="12"/>
        <v>0</v>
      </c>
      <c r="N42" s="4">
        <f t="shared" si="13"/>
        <v>0</v>
      </c>
      <c r="O42" s="4">
        <f t="shared" si="14"/>
        <v>0</v>
      </c>
      <c r="P42" s="4">
        <f t="shared" si="15"/>
        <v>0</v>
      </c>
      <c r="Q42" s="4">
        <f t="shared" si="16"/>
        <v>0</v>
      </c>
      <c r="R42" s="4">
        <f t="shared" si="17"/>
        <v>0</v>
      </c>
      <c r="S42" s="4">
        <f t="shared" si="18"/>
        <v>0</v>
      </c>
      <c r="T42" s="4">
        <f t="shared" si="19"/>
        <v>0</v>
      </c>
      <c r="U42" s="4">
        <f>IF(K58&gt;0, K42/K58, 0)</f>
        <v>0</v>
      </c>
    </row>
    <row r="43" spans="1:21" x14ac:dyDescent="0.25">
      <c r="A43" t="s">
        <v>176</v>
      </c>
      <c r="B43" s="3">
        <v>0</v>
      </c>
      <c r="C43" s="3">
        <v>17.899999999999999</v>
      </c>
      <c r="D43" s="3">
        <v>133.5</v>
      </c>
      <c r="E43" s="3">
        <v>243.7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f t="shared" si="10"/>
        <v>395.1</v>
      </c>
      <c r="L43" s="4">
        <f t="shared" si="11"/>
        <v>0</v>
      </c>
      <c r="M43" s="4">
        <f t="shared" si="12"/>
        <v>4.5304986079473544E-2</v>
      </c>
      <c r="N43" s="4">
        <f t="shared" si="13"/>
        <v>0.33788914198936976</v>
      </c>
      <c r="O43" s="4">
        <f t="shared" si="14"/>
        <v>0.61680587193115666</v>
      </c>
      <c r="P43" s="4">
        <f t="shared" si="15"/>
        <v>0</v>
      </c>
      <c r="Q43" s="4">
        <f t="shared" si="16"/>
        <v>0</v>
      </c>
      <c r="R43" s="4">
        <f t="shared" si="17"/>
        <v>0</v>
      </c>
      <c r="S43" s="4">
        <f t="shared" si="18"/>
        <v>0</v>
      </c>
      <c r="T43" s="4">
        <f t="shared" si="19"/>
        <v>0</v>
      </c>
      <c r="U43" s="4">
        <f>IF(K58&gt;0, K43/K58, 0)</f>
        <v>1.0661990610647905E-3</v>
      </c>
    </row>
    <row r="44" spans="1:21" x14ac:dyDescent="0.25">
      <c r="A44" t="s">
        <v>177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f t="shared" si="10"/>
        <v>0</v>
      </c>
      <c r="L44" s="4">
        <f t="shared" si="11"/>
        <v>0</v>
      </c>
      <c r="M44" s="4">
        <f t="shared" si="12"/>
        <v>0</v>
      </c>
      <c r="N44" s="4">
        <f t="shared" si="13"/>
        <v>0</v>
      </c>
      <c r="O44" s="4">
        <f t="shared" si="14"/>
        <v>0</v>
      </c>
      <c r="P44" s="4">
        <f t="shared" si="15"/>
        <v>0</v>
      </c>
      <c r="Q44" s="4">
        <f t="shared" si="16"/>
        <v>0</v>
      </c>
      <c r="R44" s="4">
        <f t="shared" si="17"/>
        <v>0</v>
      </c>
      <c r="S44" s="4">
        <f t="shared" si="18"/>
        <v>0</v>
      </c>
      <c r="T44" s="4">
        <f t="shared" si="19"/>
        <v>0</v>
      </c>
      <c r="U44" s="4">
        <f>IF(K58&gt;0, K44/K58, 0)</f>
        <v>0</v>
      </c>
    </row>
    <row r="45" spans="1:21" x14ac:dyDescent="0.25">
      <c r="A45" t="s">
        <v>178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f t="shared" si="10"/>
        <v>0</v>
      </c>
      <c r="L45" s="4">
        <f t="shared" si="11"/>
        <v>0</v>
      </c>
      <c r="M45" s="4">
        <f t="shared" si="12"/>
        <v>0</v>
      </c>
      <c r="N45" s="4">
        <f t="shared" si="13"/>
        <v>0</v>
      </c>
      <c r="O45" s="4">
        <f t="shared" si="14"/>
        <v>0</v>
      </c>
      <c r="P45" s="4">
        <f t="shared" si="15"/>
        <v>0</v>
      </c>
      <c r="Q45" s="4">
        <f t="shared" si="16"/>
        <v>0</v>
      </c>
      <c r="R45" s="4">
        <f t="shared" si="17"/>
        <v>0</v>
      </c>
      <c r="S45" s="4">
        <f t="shared" si="18"/>
        <v>0</v>
      </c>
      <c r="T45" s="4">
        <f t="shared" si="19"/>
        <v>0</v>
      </c>
      <c r="U45" s="4">
        <f>IF(K58&gt;0, K45/K58, 0)</f>
        <v>0</v>
      </c>
    </row>
    <row r="46" spans="1:21" x14ac:dyDescent="0.25">
      <c r="A46" t="s">
        <v>179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f t="shared" si="10"/>
        <v>0</v>
      </c>
      <c r="L46" s="4">
        <f t="shared" si="11"/>
        <v>0</v>
      </c>
      <c r="M46" s="4">
        <f t="shared" si="12"/>
        <v>0</v>
      </c>
      <c r="N46" s="4">
        <f t="shared" si="13"/>
        <v>0</v>
      </c>
      <c r="O46" s="4">
        <f t="shared" si="14"/>
        <v>0</v>
      </c>
      <c r="P46" s="4">
        <f t="shared" si="15"/>
        <v>0</v>
      </c>
      <c r="Q46" s="4">
        <f t="shared" si="16"/>
        <v>0</v>
      </c>
      <c r="R46" s="4">
        <f t="shared" si="17"/>
        <v>0</v>
      </c>
      <c r="S46" s="4">
        <f t="shared" si="18"/>
        <v>0</v>
      </c>
      <c r="T46" s="4">
        <f t="shared" si="19"/>
        <v>0</v>
      </c>
      <c r="U46" s="4">
        <f>IF(K58&gt;0, K46/K58, 0)</f>
        <v>0</v>
      </c>
    </row>
    <row r="47" spans="1:21" x14ac:dyDescent="0.25">
      <c r="A47" t="s">
        <v>180</v>
      </c>
      <c r="B47" s="3">
        <v>0</v>
      </c>
      <c r="C47" s="3">
        <v>17</v>
      </c>
      <c r="D47" s="3">
        <v>129.4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f t="shared" si="10"/>
        <v>146.4</v>
      </c>
      <c r="L47" s="4">
        <f t="shared" si="11"/>
        <v>0</v>
      </c>
      <c r="M47" s="4">
        <f t="shared" si="12"/>
        <v>0.11612021857923496</v>
      </c>
      <c r="N47" s="4">
        <f t="shared" si="13"/>
        <v>0.88387978142076506</v>
      </c>
      <c r="O47" s="4">
        <f t="shared" si="14"/>
        <v>0</v>
      </c>
      <c r="P47" s="4">
        <f t="shared" si="15"/>
        <v>0</v>
      </c>
      <c r="Q47" s="4">
        <f t="shared" si="16"/>
        <v>0</v>
      </c>
      <c r="R47" s="4">
        <f t="shared" si="17"/>
        <v>0</v>
      </c>
      <c r="S47" s="4">
        <f t="shared" si="18"/>
        <v>0</v>
      </c>
      <c r="T47" s="4">
        <f t="shared" si="19"/>
        <v>0</v>
      </c>
      <c r="U47" s="4">
        <f>IF(K58&gt;0, K47/K58, 0)</f>
        <v>3.9506844479849485E-4</v>
      </c>
    </row>
    <row r="48" spans="1:21" x14ac:dyDescent="0.25">
      <c r="A48" t="s">
        <v>181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f t="shared" si="10"/>
        <v>0</v>
      </c>
      <c r="L48" s="4">
        <f t="shared" si="11"/>
        <v>0</v>
      </c>
      <c r="M48" s="4">
        <f t="shared" si="12"/>
        <v>0</v>
      </c>
      <c r="N48" s="4">
        <f t="shared" si="13"/>
        <v>0</v>
      </c>
      <c r="O48" s="4">
        <f t="shared" si="14"/>
        <v>0</v>
      </c>
      <c r="P48" s="4">
        <f t="shared" si="15"/>
        <v>0</v>
      </c>
      <c r="Q48" s="4">
        <f t="shared" si="16"/>
        <v>0</v>
      </c>
      <c r="R48" s="4">
        <f t="shared" si="17"/>
        <v>0</v>
      </c>
      <c r="S48" s="4">
        <f t="shared" si="18"/>
        <v>0</v>
      </c>
      <c r="T48" s="4">
        <f t="shared" si="19"/>
        <v>0</v>
      </c>
      <c r="U48" s="4">
        <f>IF(K58&gt;0, K48/K58, 0)</f>
        <v>0</v>
      </c>
    </row>
    <row r="49" spans="1:21" x14ac:dyDescent="0.25">
      <c r="A49" t="s">
        <v>182</v>
      </c>
      <c r="B49" s="3">
        <v>0</v>
      </c>
      <c r="C49" s="3">
        <v>3.7</v>
      </c>
      <c r="D49" s="3">
        <v>32.299999999999997</v>
      </c>
      <c r="E49" s="3">
        <v>58.7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f t="shared" si="10"/>
        <v>94.7</v>
      </c>
      <c r="L49" s="4">
        <f t="shared" si="11"/>
        <v>0</v>
      </c>
      <c r="M49" s="4">
        <f t="shared" si="12"/>
        <v>3.907074973600845E-2</v>
      </c>
      <c r="N49" s="4">
        <f t="shared" si="13"/>
        <v>0.34107708553326288</v>
      </c>
      <c r="O49" s="4">
        <f t="shared" si="14"/>
        <v>0.61985216473072868</v>
      </c>
      <c r="P49" s="4">
        <f t="shared" si="15"/>
        <v>0</v>
      </c>
      <c r="Q49" s="4">
        <f t="shared" si="16"/>
        <v>0</v>
      </c>
      <c r="R49" s="4">
        <f t="shared" si="17"/>
        <v>0</v>
      </c>
      <c r="S49" s="4">
        <f t="shared" si="18"/>
        <v>0</v>
      </c>
      <c r="T49" s="4">
        <f t="shared" si="19"/>
        <v>0</v>
      </c>
      <c r="U49" s="4">
        <f>IF(K58&gt;0, K49/K58, 0)</f>
        <v>2.5555315384164932E-4</v>
      </c>
    </row>
    <row r="50" spans="1:21" x14ac:dyDescent="0.25">
      <c r="A50" t="s">
        <v>183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f t="shared" si="10"/>
        <v>0</v>
      </c>
      <c r="L50" s="4">
        <f t="shared" si="11"/>
        <v>0</v>
      </c>
      <c r="M50" s="4">
        <f t="shared" si="12"/>
        <v>0</v>
      </c>
      <c r="N50" s="4">
        <f t="shared" si="13"/>
        <v>0</v>
      </c>
      <c r="O50" s="4">
        <f t="shared" si="14"/>
        <v>0</v>
      </c>
      <c r="P50" s="4">
        <f t="shared" si="15"/>
        <v>0</v>
      </c>
      <c r="Q50" s="4">
        <f t="shared" si="16"/>
        <v>0</v>
      </c>
      <c r="R50" s="4">
        <f t="shared" si="17"/>
        <v>0</v>
      </c>
      <c r="S50" s="4">
        <f t="shared" si="18"/>
        <v>0</v>
      </c>
      <c r="T50" s="4">
        <f t="shared" si="19"/>
        <v>0</v>
      </c>
      <c r="U50" s="4">
        <f>IF(K58&gt;0, K50/K58, 0)</f>
        <v>0</v>
      </c>
    </row>
    <row r="51" spans="1:21" x14ac:dyDescent="0.25">
      <c r="A51" t="s">
        <v>184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f t="shared" si="10"/>
        <v>0</v>
      </c>
      <c r="L51" s="4">
        <f t="shared" si="11"/>
        <v>0</v>
      </c>
      <c r="M51" s="4">
        <f t="shared" si="12"/>
        <v>0</v>
      </c>
      <c r="N51" s="4">
        <f t="shared" si="13"/>
        <v>0</v>
      </c>
      <c r="O51" s="4">
        <f t="shared" si="14"/>
        <v>0</v>
      </c>
      <c r="P51" s="4">
        <f t="shared" si="15"/>
        <v>0</v>
      </c>
      <c r="Q51" s="4">
        <f t="shared" si="16"/>
        <v>0</v>
      </c>
      <c r="R51" s="4">
        <f t="shared" si="17"/>
        <v>0</v>
      </c>
      <c r="S51" s="4">
        <f t="shared" si="18"/>
        <v>0</v>
      </c>
      <c r="T51" s="4">
        <f t="shared" si="19"/>
        <v>0</v>
      </c>
      <c r="U51" s="4">
        <f>IF(K58&gt;0, K51/K58, 0)</f>
        <v>0</v>
      </c>
    </row>
    <row r="52" spans="1:21" x14ac:dyDescent="0.25">
      <c r="A52" t="s">
        <v>185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f t="shared" si="10"/>
        <v>0</v>
      </c>
      <c r="L52" s="4">
        <f t="shared" si="11"/>
        <v>0</v>
      </c>
      <c r="M52" s="4">
        <f t="shared" si="12"/>
        <v>0</v>
      </c>
      <c r="N52" s="4">
        <f t="shared" si="13"/>
        <v>0</v>
      </c>
      <c r="O52" s="4">
        <f t="shared" si="14"/>
        <v>0</v>
      </c>
      <c r="P52" s="4">
        <f t="shared" si="15"/>
        <v>0</v>
      </c>
      <c r="Q52" s="4">
        <f t="shared" si="16"/>
        <v>0</v>
      </c>
      <c r="R52" s="4">
        <f t="shared" si="17"/>
        <v>0</v>
      </c>
      <c r="S52" s="4">
        <f t="shared" si="18"/>
        <v>0</v>
      </c>
      <c r="T52" s="4">
        <f t="shared" si="19"/>
        <v>0</v>
      </c>
      <c r="U52" s="4">
        <f>IF(K58&gt;0, K52/K58, 0)</f>
        <v>0</v>
      </c>
    </row>
    <row r="53" spans="1:21" x14ac:dyDescent="0.25">
      <c r="A53" t="s">
        <v>186</v>
      </c>
      <c r="B53" s="3">
        <v>0</v>
      </c>
      <c r="C53" s="3">
        <v>13.5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f t="shared" si="10"/>
        <v>13.5</v>
      </c>
      <c r="L53" s="4">
        <f t="shared" si="11"/>
        <v>0</v>
      </c>
      <c r="M53" s="4">
        <f t="shared" si="12"/>
        <v>1</v>
      </c>
      <c r="N53" s="4">
        <f t="shared" si="13"/>
        <v>0</v>
      </c>
      <c r="O53" s="4">
        <f t="shared" si="14"/>
        <v>0</v>
      </c>
      <c r="P53" s="4">
        <f t="shared" si="15"/>
        <v>0</v>
      </c>
      <c r="Q53" s="4">
        <f t="shared" si="16"/>
        <v>0</v>
      </c>
      <c r="R53" s="4">
        <f t="shared" si="17"/>
        <v>0</v>
      </c>
      <c r="S53" s="4">
        <f t="shared" si="18"/>
        <v>0</v>
      </c>
      <c r="T53" s="4">
        <f t="shared" si="19"/>
        <v>0</v>
      </c>
      <c r="U53" s="4">
        <f>IF(K58&gt;0, K53/K58, 0)</f>
        <v>3.6430491835926778E-5</v>
      </c>
    </row>
    <row r="54" spans="1:21" x14ac:dyDescent="0.25">
      <c r="A54" t="s">
        <v>187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f t="shared" si="10"/>
        <v>0</v>
      </c>
      <c r="L54" s="4">
        <f t="shared" si="11"/>
        <v>0</v>
      </c>
      <c r="M54" s="4">
        <f t="shared" si="12"/>
        <v>0</v>
      </c>
      <c r="N54" s="4">
        <f t="shared" si="13"/>
        <v>0</v>
      </c>
      <c r="O54" s="4">
        <f t="shared" si="14"/>
        <v>0</v>
      </c>
      <c r="P54" s="4">
        <f t="shared" si="15"/>
        <v>0</v>
      </c>
      <c r="Q54" s="4">
        <f t="shared" si="16"/>
        <v>0</v>
      </c>
      <c r="R54" s="4">
        <f t="shared" si="17"/>
        <v>0</v>
      </c>
      <c r="S54" s="4">
        <f t="shared" si="18"/>
        <v>0</v>
      </c>
      <c r="T54" s="4">
        <f t="shared" si="19"/>
        <v>0</v>
      </c>
      <c r="U54" s="4">
        <f>IF(K58&gt;0, K54/K58, 0)</f>
        <v>0</v>
      </c>
    </row>
    <row r="55" spans="1:21" x14ac:dyDescent="0.25">
      <c r="A55" t="s">
        <v>188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f t="shared" si="10"/>
        <v>0</v>
      </c>
      <c r="L55" s="4">
        <f t="shared" si="11"/>
        <v>0</v>
      </c>
      <c r="M55" s="4">
        <f t="shared" si="12"/>
        <v>0</v>
      </c>
      <c r="N55" s="4">
        <f t="shared" si="13"/>
        <v>0</v>
      </c>
      <c r="O55" s="4">
        <f t="shared" si="14"/>
        <v>0</v>
      </c>
      <c r="P55" s="4">
        <f t="shared" si="15"/>
        <v>0</v>
      </c>
      <c r="Q55" s="4">
        <f t="shared" si="16"/>
        <v>0</v>
      </c>
      <c r="R55" s="4">
        <f t="shared" si="17"/>
        <v>0</v>
      </c>
      <c r="S55" s="4">
        <f t="shared" si="18"/>
        <v>0</v>
      </c>
      <c r="T55" s="4">
        <f t="shared" si="19"/>
        <v>0</v>
      </c>
      <c r="U55" s="4">
        <f>IF(K58&gt;0, K55/K58, 0)</f>
        <v>0</v>
      </c>
    </row>
    <row r="56" spans="1:21" x14ac:dyDescent="0.25">
      <c r="A56" t="s">
        <v>189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f t="shared" si="10"/>
        <v>0</v>
      </c>
      <c r="L56" s="4">
        <f t="shared" si="11"/>
        <v>0</v>
      </c>
      <c r="M56" s="4">
        <f t="shared" si="12"/>
        <v>0</v>
      </c>
      <c r="N56" s="4">
        <f t="shared" si="13"/>
        <v>0</v>
      </c>
      <c r="O56" s="4">
        <f t="shared" si="14"/>
        <v>0</v>
      </c>
      <c r="P56" s="4">
        <f t="shared" si="15"/>
        <v>0</v>
      </c>
      <c r="Q56" s="4">
        <f t="shared" si="16"/>
        <v>0</v>
      </c>
      <c r="R56" s="4">
        <f t="shared" si="17"/>
        <v>0</v>
      </c>
      <c r="S56" s="4">
        <f t="shared" si="18"/>
        <v>0</v>
      </c>
      <c r="T56" s="4">
        <f t="shared" si="19"/>
        <v>0</v>
      </c>
      <c r="U56" s="4">
        <f>IF(K58&gt;0, K56/K58, 0)</f>
        <v>0</v>
      </c>
    </row>
    <row r="57" spans="1:21" x14ac:dyDescent="0.25">
      <c r="A57" t="s">
        <v>190</v>
      </c>
      <c r="B57" s="3">
        <v>0</v>
      </c>
      <c r="C57" s="3">
        <v>0</v>
      </c>
      <c r="D57" s="3">
        <v>30.5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f t="shared" si="10"/>
        <v>30.5</v>
      </c>
      <c r="L57" s="4">
        <f t="shared" si="11"/>
        <v>0</v>
      </c>
      <c r="M57" s="4">
        <f t="shared" si="12"/>
        <v>0</v>
      </c>
      <c r="N57" s="4">
        <f t="shared" si="13"/>
        <v>1</v>
      </c>
      <c r="O57" s="4">
        <f t="shared" si="14"/>
        <v>0</v>
      </c>
      <c r="P57" s="4">
        <f t="shared" si="15"/>
        <v>0</v>
      </c>
      <c r="Q57" s="4">
        <f t="shared" si="16"/>
        <v>0</v>
      </c>
      <c r="R57" s="4">
        <f t="shared" si="17"/>
        <v>0</v>
      </c>
      <c r="S57" s="4">
        <f t="shared" si="18"/>
        <v>0</v>
      </c>
      <c r="T57" s="4">
        <f t="shared" si="19"/>
        <v>0</v>
      </c>
      <c r="U57" s="4">
        <f>IF(K58&gt;0, K57/K58, 0)</f>
        <v>8.2305925999686427E-5</v>
      </c>
    </row>
    <row r="58" spans="1:21" x14ac:dyDescent="0.25">
      <c r="A58" t="s">
        <v>175</v>
      </c>
      <c r="B58" s="3">
        <f>SUBTOTAL(109,TabelleSize[0 - 1 '[mm']])</f>
        <v>2.8</v>
      </c>
      <c r="C58" s="3">
        <f>SUBTOTAL(109,TabelleSize[1 - 2,5 '[mm']])</f>
        <v>2091.2999999999997</v>
      </c>
      <c r="D58" s="3">
        <f>SUBTOTAL(109,TabelleSize[2,5 - 5 '[mm']])</f>
        <v>74112.599999999991</v>
      </c>
      <c r="E58" s="3">
        <f>SUBTOTAL(109,TabelleSize[5 - 7,5 '[mm']])</f>
        <v>271879.90000000002</v>
      </c>
      <c r="F58" s="3">
        <f>SUBTOTAL(109,TabelleSize[7,5 - 10 '[mm']])</f>
        <v>22482.1</v>
      </c>
      <c r="G58" s="3">
        <f>SUBTOTAL(109,TabelleSize[10 - 15 '[mm']])</f>
        <v>0</v>
      </c>
      <c r="H58" s="3">
        <f>SUBTOTAL(109,TabelleSize[15 - 20 '[mm']])</f>
        <v>0</v>
      </c>
      <c r="I58" s="3">
        <f>SUBTOTAL(109,TabelleSize[20 - 30 '[mm']])</f>
        <v>0</v>
      </c>
      <c r="J58" s="3">
        <f>SUBTOTAL(109,TabelleSize[&gt; 30 '[mm']])</f>
        <v>0</v>
      </c>
      <c r="K58" s="3">
        <f>SUBTOTAL(109,TabelleSize[Summe '[mm']])</f>
        <v>370568.7</v>
      </c>
      <c r="L58" s="4">
        <f>IF(K58&gt; 0, B58/K58, 0)</f>
        <v>7.5559538622662943E-6</v>
      </c>
      <c r="M58" s="4">
        <f>IF(K58&gt; 0, C58/K58, 0)</f>
        <v>5.6434879686276789E-3</v>
      </c>
      <c r="N58" s="4">
        <f>IF(K58&gt; 0, D58/K58, 0)</f>
        <v>0.19999692364735605</v>
      </c>
      <c r="O58" s="4">
        <f>IF(K58&gt; 0, E58/K58, 0)</f>
        <v>0.73368285017056223</v>
      </c>
      <c r="P58" s="4">
        <f>IF(K58&gt; 0, F58/K58, 0)</f>
        <v>6.0669182259591808E-2</v>
      </c>
      <c r="Q58" s="4">
        <f>IF(K58&gt; 0, G58/K58, 0)</f>
        <v>0</v>
      </c>
      <c r="R58" s="4">
        <f>IF(K58&gt; 0, H58/K58, 0)</f>
        <v>0</v>
      </c>
      <c r="S58" s="4">
        <f>IF(K58&gt; 0, I58/K58, 0)</f>
        <v>0</v>
      </c>
      <c r="T58" s="4">
        <f>IF(K58&gt; 0, J58/K58, 0)</f>
        <v>0</v>
      </c>
      <c r="U58" s="4">
        <f>SUBTOTAL(109,TabelleSize[Summe '[%']])</f>
        <v>0.99999999999999989</v>
      </c>
    </row>
    <row r="61" spans="1:21" x14ac:dyDescent="0.25">
      <c r="A61" s="5" t="s">
        <v>214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t="s">
        <v>146</v>
      </c>
      <c r="B62" t="s">
        <v>193</v>
      </c>
      <c r="C62" t="s">
        <v>194</v>
      </c>
      <c r="D62" t="s">
        <v>195</v>
      </c>
      <c r="E62" t="s">
        <v>196</v>
      </c>
      <c r="F62" t="s">
        <v>197</v>
      </c>
      <c r="G62" t="s">
        <v>198</v>
      </c>
      <c r="H62" t="s">
        <v>199</v>
      </c>
      <c r="I62" t="s">
        <v>200</v>
      </c>
      <c r="J62" t="s">
        <v>201</v>
      </c>
      <c r="K62" t="s">
        <v>202</v>
      </c>
      <c r="L62" t="s">
        <v>203</v>
      </c>
      <c r="M62" t="s">
        <v>204</v>
      </c>
      <c r="N62" t="s">
        <v>205</v>
      </c>
      <c r="O62" t="s">
        <v>206</v>
      </c>
      <c r="P62" t="s">
        <v>207</v>
      </c>
      <c r="Q62" t="s">
        <v>208</v>
      </c>
      <c r="R62" t="s">
        <v>209</v>
      </c>
      <c r="S62" t="s">
        <v>210</v>
      </c>
      <c r="T62" t="s">
        <v>211</v>
      </c>
      <c r="U62" t="s">
        <v>212</v>
      </c>
    </row>
    <row r="63" spans="1:21" x14ac:dyDescent="0.25">
      <c r="A63" t="s">
        <v>156</v>
      </c>
      <c r="B63" s="3">
        <v>0</v>
      </c>
      <c r="C63" s="3">
        <v>1.5899999999999999</v>
      </c>
      <c r="D63" s="3">
        <v>381.87</v>
      </c>
      <c r="E63" s="3">
        <v>152.66999999999999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f t="shared" ref="K63:K87" si="20">SUM(B63:J63)</f>
        <v>536.13</v>
      </c>
      <c r="L63" s="4">
        <f t="shared" ref="L63:L87" si="21">IF(K63&gt;0, B63/K63,0)</f>
        <v>0</v>
      </c>
      <c r="M63" s="4">
        <f t="shared" ref="M63:M87" si="22">IF(K63&gt;0, C63/K63,0)</f>
        <v>2.9656986178725306E-3</v>
      </c>
      <c r="N63" s="4">
        <f t="shared" ref="N63:N87" si="23">IF(K63&gt;0, D63/K63,0)</f>
        <v>0.71227127748866881</v>
      </c>
      <c r="O63" s="4">
        <f t="shared" ref="O63:O87" si="24">IF(K63&gt;0, E63/K63,0)</f>
        <v>0.28476302389345864</v>
      </c>
      <c r="P63" s="4">
        <f t="shared" ref="P63:P87" si="25">IF(K63&gt;0, F63/K63,0)</f>
        <v>0</v>
      </c>
      <c r="Q63" s="4">
        <f t="shared" ref="Q63:Q87" si="26">IF(K63&gt;0, G63/K63,0)</f>
        <v>0</v>
      </c>
      <c r="R63" s="4">
        <f t="shared" ref="R63:R87" si="27">IF(K63&gt;0, H63/K63,0)</f>
        <v>0</v>
      </c>
      <c r="S63" s="4">
        <f t="shared" ref="S63:S87" si="28">IF(K63&gt;0, I63/K63,0)</f>
        <v>0</v>
      </c>
      <c r="T63" s="4">
        <f t="shared" ref="T63:T87" si="29">IF(K63&gt;0, J63/K63,0)</f>
        <v>0</v>
      </c>
      <c r="U63" s="4">
        <f>IF(K88&gt;0, K63/K88, 0)</f>
        <v>9.51198933269065E-4</v>
      </c>
    </row>
    <row r="64" spans="1:21" x14ac:dyDescent="0.25">
      <c r="A64" t="s">
        <v>158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f t="shared" si="20"/>
        <v>0</v>
      </c>
      <c r="L64" s="4">
        <f t="shared" si="21"/>
        <v>0</v>
      </c>
      <c r="M64" s="4">
        <f t="shared" si="22"/>
        <v>0</v>
      </c>
      <c r="N64" s="4">
        <f t="shared" si="23"/>
        <v>0</v>
      </c>
      <c r="O64" s="4">
        <f t="shared" si="24"/>
        <v>0</v>
      </c>
      <c r="P64" s="4">
        <f t="shared" si="25"/>
        <v>0</v>
      </c>
      <c r="Q64" s="4">
        <f t="shared" si="26"/>
        <v>0</v>
      </c>
      <c r="R64" s="4">
        <f t="shared" si="27"/>
        <v>0</v>
      </c>
      <c r="S64" s="4">
        <f t="shared" si="28"/>
        <v>0</v>
      </c>
      <c r="T64" s="4">
        <f t="shared" si="29"/>
        <v>0</v>
      </c>
      <c r="U64" s="4">
        <f>IF(K88&gt;0, K64/K88, 0)</f>
        <v>0</v>
      </c>
    </row>
    <row r="65" spans="1:21" x14ac:dyDescent="0.25">
      <c r="A65" t="s">
        <v>160</v>
      </c>
      <c r="B65" s="3">
        <v>0</v>
      </c>
      <c r="C65" s="3">
        <v>16.54</v>
      </c>
      <c r="D65" s="3">
        <v>169.36</v>
      </c>
      <c r="E65" s="3">
        <v>492.93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f t="shared" si="20"/>
        <v>678.83</v>
      </c>
      <c r="L65" s="4">
        <f t="shared" si="21"/>
        <v>0</v>
      </c>
      <c r="M65" s="4">
        <f t="shared" si="22"/>
        <v>2.4365452322378207E-2</v>
      </c>
      <c r="N65" s="4">
        <f t="shared" si="23"/>
        <v>0.24948808980157036</v>
      </c>
      <c r="O65" s="4">
        <f t="shared" si="24"/>
        <v>0.72614645787605137</v>
      </c>
      <c r="P65" s="4">
        <f t="shared" si="25"/>
        <v>0</v>
      </c>
      <c r="Q65" s="4">
        <f t="shared" si="26"/>
        <v>0</v>
      </c>
      <c r="R65" s="4">
        <f t="shared" si="27"/>
        <v>0</v>
      </c>
      <c r="S65" s="4">
        <f t="shared" si="28"/>
        <v>0</v>
      </c>
      <c r="T65" s="4">
        <f t="shared" si="29"/>
        <v>0</v>
      </c>
      <c r="U65" s="4">
        <f>IF(K88&gt;0, K65/K88, 0)</f>
        <v>1.2043764979968281E-3</v>
      </c>
    </row>
    <row r="66" spans="1:21" x14ac:dyDescent="0.25">
      <c r="A66" t="s">
        <v>162</v>
      </c>
      <c r="B66" s="3">
        <v>1.97</v>
      </c>
      <c r="C66" s="3">
        <v>701.02</v>
      </c>
      <c r="D66" s="3">
        <v>87411.32</v>
      </c>
      <c r="E66" s="3">
        <v>433527.16</v>
      </c>
      <c r="F66" s="3">
        <v>38355.230000000003</v>
      </c>
      <c r="G66" s="3">
        <v>0</v>
      </c>
      <c r="H66" s="3">
        <v>0</v>
      </c>
      <c r="I66" s="3">
        <v>0</v>
      </c>
      <c r="J66" s="3">
        <v>0</v>
      </c>
      <c r="K66" s="3">
        <f t="shared" si="20"/>
        <v>559996.69999999995</v>
      </c>
      <c r="L66" s="4">
        <f t="shared" si="21"/>
        <v>3.517877873208896E-6</v>
      </c>
      <c r="M66" s="4">
        <f t="shared" si="22"/>
        <v>1.2518288054197463E-3</v>
      </c>
      <c r="N66" s="4">
        <f t="shared" si="23"/>
        <v>0.15609256268831587</v>
      </c>
      <c r="O66" s="4">
        <f t="shared" si="24"/>
        <v>0.77416020487263593</v>
      </c>
      <c r="P66" s="4">
        <f t="shared" si="25"/>
        <v>6.8491885755755363E-2</v>
      </c>
      <c r="Q66" s="4">
        <f t="shared" si="26"/>
        <v>0</v>
      </c>
      <c r="R66" s="4">
        <f t="shared" si="27"/>
        <v>0</v>
      </c>
      <c r="S66" s="4">
        <f t="shared" si="28"/>
        <v>0</v>
      </c>
      <c r="T66" s="4">
        <f t="shared" si="29"/>
        <v>0</v>
      </c>
      <c r="U66" s="4">
        <f>IF(K88&gt;0, K66/K88, 0)</f>
        <v>0.99354310274410418</v>
      </c>
    </row>
    <row r="67" spans="1:21" x14ac:dyDescent="0.25">
      <c r="A67" t="s">
        <v>164</v>
      </c>
      <c r="B67" s="3">
        <v>0</v>
      </c>
      <c r="C67" s="3">
        <v>0</v>
      </c>
      <c r="D67" s="3">
        <v>28.55</v>
      </c>
      <c r="E67" s="3">
        <v>205.23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f t="shared" si="20"/>
        <v>233.78</v>
      </c>
      <c r="L67" s="4">
        <f t="shared" si="21"/>
        <v>0</v>
      </c>
      <c r="M67" s="4">
        <f t="shared" si="22"/>
        <v>0</v>
      </c>
      <c r="N67" s="4">
        <f t="shared" si="23"/>
        <v>0.12212336384635128</v>
      </c>
      <c r="O67" s="4">
        <f t="shared" si="24"/>
        <v>0.87787663615364864</v>
      </c>
      <c r="P67" s="4">
        <f t="shared" si="25"/>
        <v>0</v>
      </c>
      <c r="Q67" s="4">
        <f t="shared" si="26"/>
        <v>0</v>
      </c>
      <c r="R67" s="4">
        <f t="shared" si="27"/>
        <v>0</v>
      </c>
      <c r="S67" s="4">
        <f t="shared" si="28"/>
        <v>0</v>
      </c>
      <c r="T67" s="4">
        <f t="shared" si="29"/>
        <v>0</v>
      </c>
      <c r="U67" s="4">
        <f>IF(K88&gt;0, K67/K88, 0)</f>
        <v>4.1477120590088605E-4</v>
      </c>
    </row>
    <row r="68" spans="1:21" x14ac:dyDescent="0.25">
      <c r="A68" t="s">
        <v>166</v>
      </c>
      <c r="B68" s="3">
        <v>0</v>
      </c>
      <c r="C68" s="3">
        <v>0</v>
      </c>
      <c r="D68" s="3">
        <v>546.76</v>
      </c>
      <c r="E68" s="3">
        <v>553.12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f t="shared" si="20"/>
        <v>1099.8800000000001</v>
      </c>
      <c r="L68" s="4">
        <f t="shared" si="21"/>
        <v>0</v>
      </c>
      <c r="M68" s="4">
        <f t="shared" si="22"/>
        <v>0</v>
      </c>
      <c r="N68" s="4">
        <f t="shared" si="23"/>
        <v>0.49710877550278204</v>
      </c>
      <c r="O68" s="4">
        <f t="shared" si="24"/>
        <v>0.50289122449721779</v>
      </c>
      <c r="P68" s="4">
        <f t="shared" si="25"/>
        <v>0</v>
      </c>
      <c r="Q68" s="4">
        <f t="shared" si="26"/>
        <v>0</v>
      </c>
      <c r="R68" s="4">
        <f t="shared" si="27"/>
        <v>0</v>
      </c>
      <c r="S68" s="4">
        <f t="shared" si="28"/>
        <v>0</v>
      </c>
      <c r="T68" s="4">
        <f t="shared" si="29"/>
        <v>0</v>
      </c>
      <c r="U68" s="4">
        <f>IF(K88&gt;0, K68/K88, 0)</f>
        <v>1.9514011204819341E-3</v>
      </c>
    </row>
    <row r="69" spans="1:21" x14ac:dyDescent="0.25">
      <c r="A69" t="s">
        <v>168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f t="shared" si="20"/>
        <v>0</v>
      </c>
      <c r="L69" s="4">
        <f t="shared" si="21"/>
        <v>0</v>
      </c>
      <c r="M69" s="4">
        <f t="shared" si="22"/>
        <v>0</v>
      </c>
      <c r="N69" s="4">
        <f t="shared" si="23"/>
        <v>0</v>
      </c>
      <c r="O69" s="4">
        <f t="shared" si="24"/>
        <v>0</v>
      </c>
      <c r="P69" s="4">
        <f t="shared" si="25"/>
        <v>0</v>
      </c>
      <c r="Q69" s="4">
        <f t="shared" si="26"/>
        <v>0</v>
      </c>
      <c r="R69" s="4">
        <f t="shared" si="27"/>
        <v>0</v>
      </c>
      <c r="S69" s="4">
        <f t="shared" si="28"/>
        <v>0</v>
      </c>
      <c r="T69" s="4">
        <f t="shared" si="29"/>
        <v>0</v>
      </c>
      <c r="U69" s="4">
        <f>IF(K88&gt;0, K69/K88, 0)</f>
        <v>0</v>
      </c>
    </row>
    <row r="70" spans="1:21" x14ac:dyDescent="0.25">
      <c r="A70" t="s">
        <v>170</v>
      </c>
      <c r="B70" s="3">
        <v>0</v>
      </c>
      <c r="C70" s="3">
        <v>0.76</v>
      </c>
      <c r="D70" s="3">
        <v>10.08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f t="shared" si="20"/>
        <v>10.84</v>
      </c>
      <c r="L70" s="4">
        <f t="shared" si="21"/>
        <v>0</v>
      </c>
      <c r="M70" s="4">
        <f t="shared" si="22"/>
        <v>7.0110701107011078E-2</v>
      </c>
      <c r="N70" s="4">
        <f t="shared" si="23"/>
        <v>0.92988929889298899</v>
      </c>
      <c r="O70" s="4">
        <f t="shared" si="24"/>
        <v>0</v>
      </c>
      <c r="P70" s="4">
        <f t="shared" si="25"/>
        <v>0</v>
      </c>
      <c r="Q70" s="4">
        <f t="shared" si="26"/>
        <v>0</v>
      </c>
      <c r="R70" s="4">
        <f t="shared" si="27"/>
        <v>0</v>
      </c>
      <c r="S70" s="4">
        <f t="shared" si="28"/>
        <v>0</v>
      </c>
      <c r="T70" s="4">
        <f t="shared" si="29"/>
        <v>0</v>
      </c>
      <c r="U70" s="4">
        <f>IF(K88&gt;0, K70/K88, 0)</f>
        <v>1.9232269107560974E-5</v>
      </c>
    </row>
    <row r="71" spans="1:21" x14ac:dyDescent="0.25">
      <c r="A71" t="s">
        <v>172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f t="shared" si="20"/>
        <v>0</v>
      </c>
      <c r="L71" s="4">
        <f t="shared" si="21"/>
        <v>0</v>
      </c>
      <c r="M71" s="4">
        <f t="shared" si="22"/>
        <v>0</v>
      </c>
      <c r="N71" s="4">
        <f t="shared" si="23"/>
        <v>0</v>
      </c>
      <c r="O71" s="4">
        <f t="shared" si="24"/>
        <v>0</v>
      </c>
      <c r="P71" s="4">
        <f t="shared" si="25"/>
        <v>0</v>
      </c>
      <c r="Q71" s="4">
        <f t="shared" si="26"/>
        <v>0</v>
      </c>
      <c r="R71" s="4">
        <f t="shared" si="27"/>
        <v>0</v>
      </c>
      <c r="S71" s="4">
        <f t="shared" si="28"/>
        <v>0</v>
      </c>
      <c r="T71" s="4">
        <f t="shared" si="29"/>
        <v>0</v>
      </c>
      <c r="U71" s="4">
        <f>IF(K88&gt;0, K71/K88, 0)</f>
        <v>0</v>
      </c>
    </row>
    <row r="72" spans="1:21" x14ac:dyDescent="0.25">
      <c r="A72" t="s">
        <v>174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f t="shared" si="20"/>
        <v>0</v>
      </c>
      <c r="L72" s="4">
        <f t="shared" si="21"/>
        <v>0</v>
      </c>
      <c r="M72" s="4">
        <f t="shared" si="22"/>
        <v>0</v>
      </c>
      <c r="N72" s="4">
        <f t="shared" si="23"/>
        <v>0</v>
      </c>
      <c r="O72" s="4">
        <f t="shared" si="24"/>
        <v>0</v>
      </c>
      <c r="P72" s="4">
        <f t="shared" si="25"/>
        <v>0</v>
      </c>
      <c r="Q72" s="4">
        <f t="shared" si="26"/>
        <v>0</v>
      </c>
      <c r="R72" s="4">
        <f t="shared" si="27"/>
        <v>0</v>
      </c>
      <c r="S72" s="4">
        <f t="shared" si="28"/>
        <v>0</v>
      </c>
      <c r="T72" s="4">
        <f t="shared" si="29"/>
        <v>0</v>
      </c>
      <c r="U72" s="4">
        <f>IF(K88&gt;0, K72/K88, 0)</f>
        <v>0</v>
      </c>
    </row>
    <row r="73" spans="1:21" x14ac:dyDescent="0.25">
      <c r="A73" t="s">
        <v>176</v>
      </c>
      <c r="B73" s="3">
        <v>0</v>
      </c>
      <c r="C73" s="3">
        <v>1.75</v>
      </c>
      <c r="D73" s="3">
        <v>54.44</v>
      </c>
      <c r="E73" s="3">
        <v>531.22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f t="shared" si="20"/>
        <v>587.41000000000008</v>
      </c>
      <c r="L73" s="4">
        <f t="shared" si="21"/>
        <v>0</v>
      </c>
      <c r="M73" s="4">
        <f t="shared" si="22"/>
        <v>2.9791797892443094E-3</v>
      </c>
      <c r="N73" s="4">
        <f t="shared" si="23"/>
        <v>9.2678027272262972E-2</v>
      </c>
      <c r="O73" s="4">
        <f t="shared" si="24"/>
        <v>0.90434279293849262</v>
      </c>
      <c r="P73" s="4">
        <f t="shared" si="25"/>
        <v>0</v>
      </c>
      <c r="Q73" s="4">
        <f t="shared" si="26"/>
        <v>0</v>
      </c>
      <c r="R73" s="4">
        <f t="shared" si="27"/>
        <v>0</v>
      </c>
      <c r="S73" s="4">
        <f t="shared" si="28"/>
        <v>0</v>
      </c>
      <c r="T73" s="4">
        <f t="shared" si="29"/>
        <v>0</v>
      </c>
      <c r="U73" s="4">
        <f>IF(K88&gt;0, K73/K88, 0)</f>
        <v>1.0421796306708849E-3</v>
      </c>
    </row>
    <row r="74" spans="1:21" x14ac:dyDescent="0.25">
      <c r="A74" t="s">
        <v>177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f t="shared" si="20"/>
        <v>0</v>
      </c>
      <c r="L74" s="4">
        <f t="shared" si="21"/>
        <v>0</v>
      </c>
      <c r="M74" s="4">
        <f t="shared" si="22"/>
        <v>0</v>
      </c>
      <c r="N74" s="4">
        <f t="shared" si="23"/>
        <v>0</v>
      </c>
      <c r="O74" s="4">
        <f t="shared" si="24"/>
        <v>0</v>
      </c>
      <c r="P74" s="4">
        <f t="shared" si="25"/>
        <v>0</v>
      </c>
      <c r="Q74" s="4">
        <f t="shared" si="26"/>
        <v>0</v>
      </c>
      <c r="R74" s="4">
        <f t="shared" si="27"/>
        <v>0</v>
      </c>
      <c r="S74" s="4">
        <f t="shared" si="28"/>
        <v>0</v>
      </c>
      <c r="T74" s="4">
        <f t="shared" si="29"/>
        <v>0</v>
      </c>
      <c r="U74" s="4">
        <f>IF(K88&gt;0, K74/K88, 0)</f>
        <v>0</v>
      </c>
    </row>
    <row r="75" spans="1:21" x14ac:dyDescent="0.25">
      <c r="A75" t="s">
        <v>178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f t="shared" si="20"/>
        <v>0</v>
      </c>
      <c r="L75" s="4">
        <f t="shared" si="21"/>
        <v>0</v>
      </c>
      <c r="M75" s="4">
        <f t="shared" si="22"/>
        <v>0</v>
      </c>
      <c r="N75" s="4">
        <f t="shared" si="23"/>
        <v>0</v>
      </c>
      <c r="O75" s="4">
        <f t="shared" si="24"/>
        <v>0</v>
      </c>
      <c r="P75" s="4">
        <f t="shared" si="25"/>
        <v>0</v>
      </c>
      <c r="Q75" s="4">
        <f t="shared" si="26"/>
        <v>0</v>
      </c>
      <c r="R75" s="4">
        <f t="shared" si="27"/>
        <v>0</v>
      </c>
      <c r="S75" s="4">
        <f t="shared" si="28"/>
        <v>0</v>
      </c>
      <c r="T75" s="4">
        <f t="shared" si="29"/>
        <v>0</v>
      </c>
      <c r="U75" s="4">
        <f>IF(K88&gt;0, K75/K88, 0)</f>
        <v>0</v>
      </c>
    </row>
    <row r="76" spans="1:21" x14ac:dyDescent="0.25">
      <c r="A76" t="s">
        <v>179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f t="shared" si="20"/>
        <v>0</v>
      </c>
      <c r="L76" s="4">
        <f t="shared" si="21"/>
        <v>0</v>
      </c>
      <c r="M76" s="4">
        <f t="shared" si="22"/>
        <v>0</v>
      </c>
      <c r="N76" s="4">
        <f t="shared" si="23"/>
        <v>0</v>
      </c>
      <c r="O76" s="4">
        <f t="shared" si="24"/>
        <v>0</v>
      </c>
      <c r="P76" s="4">
        <f t="shared" si="25"/>
        <v>0</v>
      </c>
      <c r="Q76" s="4">
        <f t="shared" si="26"/>
        <v>0</v>
      </c>
      <c r="R76" s="4">
        <f t="shared" si="27"/>
        <v>0</v>
      </c>
      <c r="S76" s="4">
        <f t="shared" si="28"/>
        <v>0</v>
      </c>
      <c r="T76" s="4">
        <f t="shared" si="29"/>
        <v>0</v>
      </c>
      <c r="U76" s="4">
        <f>IF(K88&gt;0, K76/K88, 0)</f>
        <v>0</v>
      </c>
    </row>
    <row r="77" spans="1:21" x14ac:dyDescent="0.25">
      <c r="A77" t="s">
        <v>180</v>
      </c>
      <c r="B77" s="3">
        <v>0</v>
      </c>
      <c r="C77" s="3">
        <v>2.2200000000000002</v>
      </c>
      <c r="D77" s="3">
        <v>369.44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f t="shared" si="20"/>
        <v>371.66</v>
      </c>
      <c r="L77" s="4">
        <f t="shared" si="21"/>
        <v>0</v>
      </c>
      <c r="M77" s="4">
        <f t="shared" si="22"/>
        <v>5.9732013130280367E-3</v>
      </c>
      <c r="N77" s="4">
        <f t="shared" si="23"/>
        <v>0.99402679868697186</v>
      </c>
      <c r="O77" s="4">
        <f t="shared" si="24"/>
        <v>0</v>
      </c>
      <c r="P77" s="4">
        <f t="shared" si="25"/>
        <v>0</v>
      </c>
      <c r="Q77" s="4">
        <f t="shared" si="26"/>
        <v>0</v>
      </c>
      <c r="R77" s="4">
        <f t="shared" si="27"/>
        <v>0</v>
      </c>
      <c r="S77" s="4">
        <f t="shared" si="28"/>
        <v>0</v>
      </c>
      <c r="T77" s="4">
        <f t="shared" si="29"/>
        <v>0</v>
      </c>
      <c r="U77" s="4">
        <f>IF(K88&gt;0, K77/K88, 0)</f>
        <v>6.5939715281513949E-4</v>
      </c>
    </row>
    <row r="78" spans="1:21" x14ac:dyDescent="0.25">
      <c r="A78" t="s">
        <v>181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f t="shared" si="20"/>
        <v>0</v>
      </c>
      <c r="L78" s="4">
        <f t="shared" si="21"/>
        <v>0</v>
      </c>
      <c r="M78" s="4">
        <f t="shared" si="22"/>
        <v>0</v>
      </c>
      <c r="N78" s="4">
        <f t="shared" si="23"/>
        <v>0</v>
      </c>
      <c r="O78" s="4">
        <f t="shared" si="24"/>
        <v>0</v>
      </c>
      <c r="P78" s="4">
        <f t="shared" si="25"/>
        <v>0</v>
      </c>
      <c r="Q78" s="4">
        <f t="shared" si="26"/>
        <v>0</v>
      </c>
      <c r="R78" s="4">
        <f t="shared" si="27"/>
        <v>0</v>
      </c>
      <c r="S78" s="4">
        <f t="shared" si="28"/>
        <v>0</v>
      </c>
      <c r="T78" s="4">
        <f t="shared" si="29"/>
        <v>0</v>
      </c>
      <c r="U78" s="4">
        <f>IF(K88&gt;0, K78/K88, 0)</f>
        <v>0</v>
      </c>
    </row>
    <row r="79" spans="1:21" x14ac:dyDescent="0.25">
      <c r="A79" t="s">
        <v>182</v>
      </c>
      <c r="B79" s="3">
        <v>0</v>
      </c>
      <c r="C79" s="3">
        <v>0.36</v>
      </c>
      <c r="D79" s="3">
        <v>34.479999999999997</v>
      </c>
      <c r="E79" s="3">
        <v>41.79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f t="shared" si="20"/>
        <v>76.63</v>
      </c>
      <c r="L79" s="4">
        <f t="shared" si="21"/>
        <v>0</v>
      </c>
      <c r="M79" s="4">
        <f t="shared" si="22"/>
        <v>4.6978989951716038E-3</v>
      </c>
      <c r="N79" s="4">
        <f t="shared" si="23"/>
        <v>0.44995432598199137</v>
      </c>
      <c r="O79" s="4">
        <f t="shared" si="24"/>
        <v>0.54534777502283704</v>
      </c>
      <c r="P79" s="4">
        <f t="shared" si="25"/>
        <v>0</v>
      </c>
      <c r="Q79" s="4">
        <f t="shared" si="26"/>
        <v>0</v>
      </c>
      <c r="R79" s="4">
        <f t="shared" si="27"/>
        <v>0</v>
      </c>
      <c r="S79" s="4">
        <f t="shared" si="28"/>
        <v>0</v>
      </c>
      <c r="T79" s="4">
        <f t="shared" si="29"/>
        <v>0</v>
      </c>
      <c r="U79" s="4">
        <f>IF(K88&gt;0, K79/K88, 0)</f>
        <v>1.3595652967826545E-4</v>
      </c>
    </row>
    <row r="80" spans="1:21" x14ac:dyDescent="0.25">
      <c r="A80" t="s">
        <v>183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f t="shared" si="20"/>
        <v>0</v>
      </c>
      <c r="L80" s="4">
        <f t="shared" si="21"/>
        <v>0</v>
      </c>
      <c r="M80" s="4">
        <f t="shared" si="22"/>
        <v>0</v>
      </c>
      <c r="N80" s="4">
        <f t="shared" si="23"/>
        <v>0</v>
      </c>
      <c r="O80" s="4">
        <f t="shared" si="24"/>
        <v>0</v>
      </c>
      <c r="P80" s="4">
        <f t="shared" si="25"/>
        <v>0</v>
      </c>
      <c r="Q80" s="4">
        <f t="shared" si="26"/>
        <v>0</v>
      </c>
      <c r="R80" s="4">
        <f t="shared" si="27"/>
        <v>0</v>
      </c>
      <c r="S80" s="4">
        <f t="shared" si="28"/>
        <v>0</v>
      </c>
      <c r="T80" s="4">
        <f t="shared" si="29"/>
        <v>0</v>
      </c>
      <c r="U80" s="4">
        <f>IF(K88&gt;0, K80/K88, 0)</f>
        <v>0</v>
      </c>
    </row>
    <row r="81" spans="1:21" x14ac:dyDescent="0.25">
      <c r="A81" t="s">
        <v>184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f t="shared" si="20"/>
        <v>0</v>
      </c>
      <c r="L81" s="4">
        <f t="shared" si="21"/>
        <v>0</v>
      </c>
      <c r="M81" s="4">
        <f t="shared" si="22"/>
        <v>0</v>
      </c>
      <c r="N81" s="4">
        <f t="shared" si="23"/>
        <v>0</v>
      </c>
      <c r="O81" s="4">
        <f t="shared" si="24"/>
        <v>0</v>
      </c>
      <c r="P81" s="4">
        <f t="shared" si="25"/>
        <v>0</v>
      </c>
      <c r="Q81" s="4">
        <f t="shared" si="26"/>
        <v>0</v>
      </c>
      <c r="R81" s="4">
        <f t="shared" si="27"/>
        <v>0</v>
      </c>
      <c r="S81" s="4">
        <f t="shared" si="28"/>
        <v>0</v>
      </c>
      <c r="T81" s="4">
        <f t="shared" si="29"/>
        <v>0</v>
      </c>
      <c r="U81" s="4">
        <f>IF(K88&gt;0, K81/K88, 0)</f>
        <v>0</v>
      </c>
    </row>
    <row r="82" spans="1:21" x14ac:dyDescent="0.25">
      <c r="A82" t="s">
        <v>185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f t="shared" si="20"/>
        <v>0</v>
      </c>
      <c r="L82" s="4">
        <f t="shared" si="21"/>
        <v>0</v>
      </c>
      <c r="M82" s="4">
        <f t="shared" si="22"/>
        <v>0</v>
      </c>
      <c r="N82" s="4">
        <f t="shared" si="23"/>
        <v>0</v>
      </c>
      <c r="O82" s="4">
        <f t="shared" si="24"/>
        <v>0</v>
      </c>
      <c r="P82" s="4">
        <f t="shared" si="25"/>
        <v>0</v>
      </c>
      <c r="Q82" s="4">
        <f t="shared" si="26"/>
        <v>0</v>
      </c>
      <c r="R82" s="4">
        <f t="shared" si="27"/>
        <v>0</v>
      </c>
      <c r="S82" s="4">
        <f t="shared" si="28"/>
        <v>0</v>
      </c>
      <c r="T82" s="4">
        <f t="shared" si="29"/>
        <v>0</v>
      </c>
      <c r="U82" s="4">
        <f>IF(K88&gt;0, K82/K88, 0)</f>
        <v>0</v>
      </c>
    </row>
    <row r="83" spans="1:21" x14ac:dyDescent="0.25">
      <c r="A83" t="s">
        <v>186</v>
      </c>
      <c r="B83" s="3">
        <v>0</v>
      </c>
      <c r="C83" s="3">
        <v>1.1000000000000001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f t="shared" si="20"/>
        <v>1.1000000000000001</v>
      </c>
      <c r="L83" s="4">
        <f t="shared" si="21"/>
        <v>0</v>
      </c>
      <c r="M83" s="4">
        <f t="shared" si="22"/>
        <v>1</v>
      </c>
      <c r="N83" s="4">
        <f t="shared" si="23"/>
        <v>0</v>
      </c>
      <c r="O83" s="4">
        <f t="shared" si="24"/>
        <v>0</v>
      </c>
      <c r="P83" s="4">
        <f t="shared" si="25"/>
        <v>0</v>
      </c>
      <c r="Q83" s="4">
        <f t="shared" si="26"/>
        <v>0</v>
      </c>
      <c r="R83" s="4">
        <f t="shared" si="27"/>
        <v>0</v>
      </c>
      <c r="S83" s="4">
        <f t="shared" si="28"/>
        <v>0</v>
      </c>
      <c r="T83" s="4">
        <f t="shared" si="29"/>
        <v>0</v>
      </c>
      <c r="U83" s="4">
        <f>IF(K88&gt;0, K83/K88, 0)</f>
        <v>1.9516140238299883E-6</v>
      </c>
    </row>
    <row r="84" spans="1:21" x14ac:dyDescent="0.25">
      <c r="A84" t="s">
        <v>187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f t="shared" si="20"/>
        <v>0</v>
      </c>
      <c r="L84" s="4">
        <f t="shared" si="21"/>
        <v>0</v>
      </c>
      <c r="M84" s="4">
        <f t="shared" si="22"/>
        <v>0</v>
      </c>
      <c r="N84" s="4">
        <f t="shared" si="23"/>
        <v>0</v>
      </c>
      <c r="O84" s="4">
        <f t="shared" si="24"/>
        <v>0</v>
      </c>
      <c r="P84" s="4">
        <f t="shared" si="25"/>
        <v>0</v>
      </c>
      <c r="Q84" s="4">
        <f t="shared" si="26"/>
        <v>0</v>
      </c>
      <c r="R84" s="4">
        <f t="shared" si="27"/>
        <v>0</v>
      </c>
      <c r="S84" s="4">
        <f t="shared" si="28"/>
        <v>0</v>
      </c>
      <c r="T84" s="4">
        <f t="shared" si="29"/>
        <v>0</v>
      </c>
      <c r="U84" s="4">
        <f>IF(K88&gt;0, K84/K88, 0)</f>
        <v>0</v>
      </c>
    </row>
    <row r="85" spans="1:21" x14ac:dyDescent="0.25">
      <c r="A85" t="s">
        <v>188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f t="shared" si="20"/>
        <v>0</v>
      </c>
      <c r="L85" s="4">
        <f t="shared" si="21"/>
        <v>0</v>
      </c>
      <c r="M85" s="4">
        <f t="shared" si="22"/>
        <v>0</v>
      </c>
      <c r="N85" s="4">
        <f t="shared" si="23"/>
        <v>0</v>
      </c>
      <c r="O85" s="4">
        <f t="shared" si="24"/>
        <v>0</v>
      </c>
      <c r="P85" s="4">
        <f t="shared" si="25"/>
        <v>0</v>
      </c>
      <c r="Q85" s="4">
        <f t="shared" si="26"/>
        <v>0</v>
      </c>
      <c r="R85" s="4">
        <f t="shared" si="27"/>
        <v>0</v>
      </c>
      <c r="S85" s="4">
        <f t="shared" si="28"/>
        <v>0</v>
      </c>
      <c r="T85" s="4">
        <f t="shared" si="29"/>
        <v>0</v>
      </c>
      <c r="U85" s="4">
        <f>IF(K88&gt;0, K85/K88, 0)</f>
        <v>0</v>
      </c>
    </row>
    <row r="86" spans="1:21" x14ac:dyDescent="0.25">
      <c r="A86" t="s">
        <v>189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f t="shared" si="20"/>
        <v>0</v>
      </c>
      <c r="L86" s="4">
        <f t="shared" si="21"/>
        <v>0</v>
      </c>
      <c r="M86" s="4">
        <f t="shared" si="22"/>
        <v>0</v>
      </c>
      <c r="N86" s="4">
        <f t="shared" si="23"/>
        <v>0</v>
      </c>
      <c r="O86" s="4">
        <f t="shared" si="24"/>
        <v>0</v>
      </c>
      <c r="P86" s="4">
        <f t="shared" si="25"/>
        <v>0</v>
      </c>
      <c r="Q86" s="4">
        <f t="shared" si="26"/>
        <v>0</v>
      </c>
      <c r="R86" s="4">
        <f t="shared" si="27"/>
        <v>0</v>
      </c>
      <c r="S86" s="4">
        <f t="shared" si="28"/>
        <v>0</v>
      </c>
      <c r="T86" s="4">
        <f t="shared" si="29"/>
        <v>0</v>
      </c>
      <c r="U86" s="4">
        <f>IF(K88&gt;0, K86/K88, 0)</f>
        <v>0</v>
      </c>
    </row>
    <row r="87" spans="1:21" x14ac:dyDescent="0.25">
      <c r="A87" t="s">
        <v>190</v>
      </c>
      <c r="B87" s="3">
        <v>0</v>
      </c>
      <c r="C87" s="3">
        <v>0</v>
      </c>
      <c r="D87" s="3">
        <v>43.08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f t="shared" si="20"/>
        <v>43.08</v>
      </c>
      <c r="L87" s="4">
        <f t="shared" si="21"/>
        <v>0</v>
      </c>
      <c r="M87" s="4">
        <f t="shared" si="22"/>
        <v>0</v>
      </c>
      <c r="N87" s="4">
        <f t="shared" si="23"/>
        <v>1</v>
      </c>
      <c r="O87" s="4">
        <f t="shared" si="24"/>
        <v>0</v>
      </c>
      <c r="P87" s="4">
        <f t="shared" si="25"/>
        <v>0</v>
      </c>
      <c r="Q87" s="4">
        <f t="shared" si="26"/>
        <v>0</v>
      </c>
      <c r="R87" s="4">
        <f t="shared" si="27"/>
        <v>0</v>
      </c>
      <c r="S87" s="4">
        <f t="shared" si="28"/>
        <v>0</v>
      </c>
      <c r="T87" s="4">
        <f t="shared" si="29"/>
        <v>0</v>
      </c>
      <c r="U87" s="4">
        <f>IF(K88&gt;0, K87/K88, 0)</f>
        <v>7.6432301951450811E-5</v>
      </c>
    </row>
    <row r="88" spans="1:21" x14ac:dyDescent="0.25">
      <c r="A88" t="s">
        <v>175</v>
      </c>
      <c r="B88" s="3">
        <f>SUBTOTAL(109,TabelleVolume[0 - 1 '[mm']])</f>
        <v>1.97</v>
      </c>
      <c r="C88" s="3">
        <f>SUBTOTAL(109,TabelleVolume[1 - 2,5 '[mm']])</f>
        <v>725.34</v>
      </c>
      <c r="D88" s="3">
        <f>SUBTOTAL(109,TabelleVolume[2,5 - 5 '[mm']])</f>
        <v>89049.38</v>
      </c>
      <c r="E88" s="3">
        <f>SUBTOTAL(109,TabelleVolume[5 - 7,5 '[mm']])</f>
        <v>435504.11999999988</v>
      </c>
      <c r="F88" s="3">
        <f>SUBTOTAL(109,TabelleVolume[7,5 - 10 '[mm']])</f>
        <v>38355.230000000003</v>
      </c>
      <c r="G88" s="3">
        <f>SUBTOTAL(109,TabelleVolume[10 - 15 '[mm']])</f>
        <v>0</v>
      </c>
      <c r="H88" s="3">
        <f>SUBTOTAL(109,TabelleVolume[15 - 20 '[mm']])</f>
        <v>0</v>
      </c>
      <c r="I88" s="3">
        <f>SUBTOTAL(109,TabelleVolume[20 - 30 '[mm']])</f>
        <v>0</v>
      </c>
      <c r="J88" s="3">
        <f>SUBTOTAL(109,TabelleVolume[&gt; 30 '[mm']])</f>
        <v>0</v>
      </c>
      <c r="K88" s="3">
        <f>SUBTOTAL(109,TabelleVolume[Summe '[mm']])</f>
        <v>563636.03999999992</v>
      </c>
      <c r="L88" s="4">
        <f>IF(K88&gt; 0, B88/K88, 0)</f>
        <v>3.4951632972227969E-6</v>
      </c>
      <c r="M88" s="4">
        <f>IF(K88&gt; 0, C88/K88, 0)</f>
        <v>1.2868942873134942E-3</v>
      </c>
      <c r="N88" s="4">
        <f>IF(K88&gt; 0, D88/K88, 0)</f>
        <v>0.15799092620124153</v>
      </c>
      <c r="O88" s="4">
        <f>IF(K88&gt; 0, E88/K88, 0)</f>
        <v>0.77266904366157985</v>
      </c>
      <c r="P88" s="4">
        <f>IF(K88&gt; 0, F88/K88, 0)</f>
        <v>6.8049640686567894E-2</v>
      </c>
      <c r="Q88" s="4">
        <f>IF(K88&gt; 0, G88/K88, 0)</f>
        <v>0</v>
      </c>
      <c r="R88" s="4">
        <f>IF(K88&gt; 0, H88/K88, 0)</f>
        <v>0</v>
      </c>
      <c r="S88" s="4">
        <f>IF(K88&gt; 0, I88/K88, 0)</f>
        <v>0</v>
      </c>
      <c r="T88" s="4">
        <f>IF(K88&gt; 0, J88/K88, 0)</f>
        <v>0</v>
      </c>
      <c r="U88" s="4">
        <f>SUBTOTAL(109,TabelleVolume[Summe '[%']])</f>
        <v>1</v>
      </c>
    </row>
    <row r="91" spans="1:21" x14ac:dyDescent="0.25">
      <c r="A91" s="5" t="s">
        <v>215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t="s">
        <v>146</v>
      </c>
      <c r="B92" t="s">
        <v>193</v>
      </c>
      <c r="C92" t="s">
        <v>194</v>
      </c>
      <c r="D92" t="s">
        <v>195</v>
      </c>
      <c r="E92" t="s">
        <v>196</v>
      </c>
      <c r="F92" t="s">
        <v>197</v>
      </c>
      <c r="G92" t="s">
        <v>198</v>
      </c>
      <c r="H92" t="s">
        <v>199</v>
      </c>
      <c r="I92" t="s">
        <v>200</v>
      </c>
      <c r="J92" t="s">
        <v>201</v>
      </c>
      <c r="K92" t="s">
        <v>202</v>
      </c>
      <c r="L92" t="s">
        <v>203</v>
      </c>
      <c r="M92" t="s">
        <v>204</v>
      </c>
      <c r="N92" t="s">
        <v>205</v>
      </c>
      <c r="O92" t="s">
        <v>206</v>
      </c>
      <c r="P92" t="s">
        <v>207</v>
      </c>
      <c r="Q92" t="s">
        <v>208</v>
      </c>
      <c r="R92" t="s">
        <v>209</v>
      </c>
      <c r="S92" t="s">
        <v>210</v>
      </c>
      <c r="T92" t="s">
        <v>211</v>
      </c>
      <c r="U92" t="s">
        <v>212</v>
      </c>
    </row>
    <row r="93" spans="1:21" x14ac:dyDescent="0.25">
      <c r="A93" t="s">
        <v>156</v>
      </c>
      <c r="B93" s="3">
        <v>0</v>
      </c>
      <c r="C93" s="3">
        <v>3.4579212661120133E-4</v>
      </c>
      <c r="D93" s="3">
        <v>8.3305732730440826E-2</v>
      </c>
      <c r="E93" s="3">
        <v>3.3305119523472142E-2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f t="shared" ref="K93:K117" si="30">SUM(B93:J93)</f>
        <v>0.11695664438052417</v>
      </c>
      <c r="L93" s="4">
        <f t="shared" ref="L93:L117" si="31">IF(K93&gt;0, B93/K93,0)</f>
        <v>0</v>
      </c>
      <c r="M93" s="4">
        <f t="shared" ref="M93:M117" si="32">IF(K93&gt;0, C93/K93,0)</f>
        <v>2.9565838558615765E-3</v>
      </c>
      <c r="N93" s="4">
        <f t="shared" ref="N93:N117" si="33">IF(K93&gt;0, D93/K93,0)</f>
        <v>0.71227875228192716</v>
      </c>
      <c r="O93" s="4">
        <f t="shared" ref="O93:O117" si="34">IF(K93&gt;0, E93/K93,0)</f>
        <v>0.28476466386221122</v>
      </c>
      <c r="P93" s="4">
        <f t="shared" ref="P93:P117" si="35">IF(K93&gt;0, F93/K93,0)</f>
        <v>0</v>
      </c>
      <c r="Q93" s="4">
        <f t="shared" ref="Q93:Q117" si="36">IF(K93&gt;0, G93/K93,0)</f>
        <v>0</v>
      </c>
      <c r="R93" s="4">
        <f t="shared" ref="R93:R117" si="37">IF(K93&gt;0, H93/K93,0)</f>
        <v>0</v>
      </c>
      <c r="S93" s="4">
        <f t="shared" ref="S93:S117" si="38">IF(K93&gt;0, I93/K93,0)</f>
        <v>0</v>
      </c>
      <c r="T93" s="4">
        <f t="shared" ref="T93:T117" si="39">IF(K93&gt;0, J93/K93,0)</f>
        <v>0</v>
      </c>
      <c r="U93" s="4">
        <f>IF(K118&gt;0, K93/K118, 0)</f>
        <v>9.5086702748393645E-4</v>
      </c>
    </row>
    <row r="94" spans="1:21" x14ac:dyDescent="0.25">
      <c r="A94" t="s">
        <v>158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f t="shared" si="30"/>
        <v>0</v>
      </c>
      <c r="L94" s="4">
        <f t="shared" si="31"/>
        <v>0</v>
      </c>
      <c r="M94" s="4">
        <f t="shared" si="32"/>
        <v>0</v>
      </c>
      <c r="N94" s="4">
        <f t="shared" si="33"/>
        <v>0</v>
      </c>
      <c r="O94" s="4">
        <f t="shared" si="34"/>
        <v>0</v>
      </c>
      <c r="P94" s="4">
        <f t="shared" si="35"/>
        <v>0</v>
      </c>
      <c r="Q94" s="4">
        <f t="shared" si="36"/>
        <v>0</v>
      </c>
      <c r="R94" s="4">
        <f t="shared" si="37"/>
        <v>0</v>
      </c>
      <c r="S94" s="4">
        <f t="shared" si="38"/>
        <v>0</v>
      </c>
      <c r="T94" s="4">
        <f t="shared" si="39"/>
        <v>0</v>
      </c>
      <c r="U94" s="4">
        <f>IF(K118&gt;0, K94/K118, 0)</f>
        <v>0</v>
      </c>
    </row>
    <row r="95" spans="1:21" x14ac:dyDescent="0.25">
      <c r="A95" t="s">
        <v>160</v>
      </c>
      <c r="B95" s="3">
        <v>0</v>
      </c>
      <c r="C95" s="3">
        <v>3.6064494278778975E-3</v>
      </c>
      <c r="D95" s="3">
        <v>3.6946380239263915E-2</v>
      </c>
      <c r="E95" s="3">
        <v>0.10753206836597322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f t="shared" si="30"/>
        <v>0.14808489803311503</v>
      </c>
      <c r="L95" s="4">
        <f t="shared" si="31"/>
        <v>0</v>
      </c>
      <c r="M95" s="4">
        <f t="shared" si="32"/>
        <v>2.4353931263614851E-2</v>
      </c>
      <c r="N95" s="4">
        <f t="shared" si="33"/>
        <v>0.24949458540331299</v>
      </c>
      <c r="O95" s="4">
        <f t="shared" si="34"/>
        <v>0.72615148333307211</v>
      </c>
      <c r="P95" s="4">
        <f t="shared" si="35"/>
        <v>0</v>
      </c>
      <c r="Q95" s="4">
        <f t="shared" si="36"/>
        <v>0</v>
      </c>
      <c r="R95" s="4">
        <f t="shared" si="37"/>
        <v>0</v>
      </c>
      <c r="S95" s="4">
        <f t="shared" si="38"/>
        <v>0</v>
      </c>
      <c r="T95" s="4">
        <f t="shared" si="39"/>
        <v>0</v>
      </c>
      <c r="U95" s="4">
        <f>IF(K118&gt;0, K95/K118, 0)</f>
        <v>1.2039422604318297E-3</v>
      </c>
    </row>
    <row r="96" spans="1:21" x14ac:dyDescent="0.25">
      <c r="A96" t="s">
        <v>162</v>
      </c>
      <c r="B96" s="3">
        <v>4.2933921760451166E-4</v>
      </c>
      <c r="C96" s="3">
        <v>0.15292830855819947</v>
      </c>
      <c r="D96" s="3">
        <v>19.068864633146571</v>
      </c>
      <c r="E96" s="3">
        <v>94.574299797830378</v>
      </c>
      <c r="F96" s="3">
        <v>8.3672272384648672</v>
      </c>
      <c r="G96" s="3">
        <v>0</v>
      </c>
      <c r="H96" s="3">
        <v>0</v>
      </c>
      <c r="I96" s="3">
        <v>0</v>
      </c>
      <c r="J96" s="3">
        <v>0</v>
      </c>
      <c r="K96" s="3">
        <f t="shared" si="30"/>
        <v>122.16374931721762</v>
      </c>
      <c r="L96" s="4">
        <f t="shared" si="31"/>
        <v>3.5144567844726511E-6</v>
      </c>
      <c r="M96" s="4">
        <f t="shared" si="32"/>
        <v>1.2518305095654586E-3</v>
      </c>
      <c r="N96" s="4">
        <f t="shared" si="33"/>
        <v>0.1560926603818554</v>
      </c>
      <c r="O96" s="4">
        <f t="shared" si="34"/>
        <v>0.77416009517072981</v>
      </c>
      <c r="P96" s="4">
        <f t="shared" si="35"/>
        <v>6.8491899481064794E-2</v>
      </c>
      <c r="Q96" s="4">
        <f t="shared" si="36"/>
        <v>0</v>
      </c>
      <c r="R96" s="4">
        <f t="shared" si="37"/>
        <v>0</v>
      </c>
      <c r="S96" s="4">
        <f t="shared" si="38"/>
        <v>0</v>
      </c>
      <c r="T96" s="4">
        <f t="shared" si="39"/>
        <v>0</v>
      </c>
      <c r="U96" s="4">
        <f>IF(K118&gt;0, K96/K118, 0)</f>
        <v>0.99320121396111904</v>
      </c>
    </row>
    <row r="97" spans="1:21" x14ac:dyDescent="0.25">
      <c r="A97" t="s">
        <v>164</v>
      </c>
      <c r="B97" s="3">
        <v>0</v>
      </c>
      <c r="C97" s="3">
        <v>0</v>
      </c>
      <c r="D97" s="3">
        <v>6.2265790315292153E-3</v>
      </c>
      <c r="E97" s="3">
        <v>4.4771957762303992E-2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f t="shared" si="30"/>
        <v>5.0998536793833205E-2</v>
      </c>
      <c r="L97" s="4">
        <f t="shared" si="31"/>
        <v>0</v>
      </c>
      <c r="M97" s="4">
        <f t="shared" si="32"/>
        <v>0</v>
      </c>
      <c r="N97" s="4">
        <f t="shared" si="33"/>
        <v>0.12209328782707624</v>
      </c>
      <c r="O97" s="4">
        <f t="shared" si="34"/>
        <v>0.87790671217292382</v>
      </c>
      <c r="P97" s="4">
        <f t="shared" si="35"/>
        <v>0</v>
      </c>
      <c r="Q97" s="4">
        <f t="shared" si="36"/>
        <v>0</v>
      </c>
      <c r="R97" s="4">
        <f t="shared" si="37"/>
        <v>0</v>
      </c>
      <c r="S97" s="4">
        <f t="shared" si="38"/>
        <v>0</v>
      </c>
      <c r="T97" s="4">
        <f t="shared" si="39"/>
        <v>0</v>
      </c>
      <c r="U97" s="4">
        <f>IF(K118&gt;0, K97/K118, 0)</f>
        <v>4.1462225035636754E-4</v>
      </c>
    </row>
    <row r="98" spans="1:21" x14ac:dyDescent="0.25">
      <c r="A98" t="s">
        <v>166</v>
      </c>
      <c r="B98" s="3">
        <v>0</v>
      </c>
      <c r="C98" s="3">
        <v>0</v>
      </c>
      <c r="D98" s="3">
        <v>0.11927739690811612</v>
      </c>
      <c r="E98" s="3">
        <v>0.12066288616708851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f t="shared" si="30"/>
        <v>0.23994028307520462</v>
      </c>
      <c r="L98" s="4">
        <f t="shared" si="31"/>
        <v>0</v>
      </c>
      <c r="M98" s="4">
        <f t="shared" si="32"/>
        <v>0</v>
      </c>
      <c r="N98" s="4">
        <f t="shared" si="33"/>
        <v>0.49711284566056352</v>
      </c>
      <c r="O98" s="4">
        <f t="shared" si="34"/>
        <v>0.50288715433943643</v>
      </c>
      <c r="P98" s="4">
        <f t="shared" si="35"/>
        <v>0</v>
      </c>
      <c r="Q98" s="4">
        <f t="shared" si="36"/>
        <v>0</v>
      </c>
      <c r="R98" s="4">
        <f t="shared" si="37"/>
        <v>0</v>
      </c>
      <c r="S98" s="4">
        <f t="shared" si="38"/>
        <v>0</v>
      </c>
      <c r="T98" s="4">
        <f t="shared" si="39"/>
        <v>0</v>
      </c>
      <c r="U98" s="4">
        <f>IF(K118&gt;0, K98/K118, 0)</f>
        <v>1.9507340087415012E-3</v>
      </c>
    </row>
    <row r="99" spans="1:21" x14ac:dyDescent="0.25">
      <c r="A99" t="s">
        <v>168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f t="shared" si="30"/>
        <v>0</v>
      </c>
      <c r="L99" s="4">
        <f t="shared" si="31"/>
        <v>0</v>
      </c>
      <c r="M99" s="4">
        <f t="shared" si="32"/>
        <v>0</v>
      </c>
      <c r="N99" s="4">
        <f t="shared" si="33"/>
        <v>0</v>
      </c>
      <c r="O99" s="4">
        <f t="shared" si="34"/>
        <v>0</v>
      </c>
      <c r="P99" s="4">
        <f t="shared" si="35"/>
        <v>0</v>
      </c>
      <c r="Q99" s="4">
        <f t="shared" si="36"/>
        <v>0</v>
      </c>
      <c r="R99" s="4">
        <f t="shared" si="37"/>
        <v>0</v>
      </c>
      <c r="S99" s="4">
        <f t="shared" si="38"/>
        <v>0</v>
      </c>
      <c r="T99" s="4">
        <f t="shared" si="39"/>
        <v>0</v>
      </c>
      <c r="U99" s="4">
        <f>IF(K118&gt;0, K99/K118, 0)</f>
        <v>0</v>
      </c>
    </row>
    <row r="100" spans="1:21" x14ac:dyDescent="0.25">
      <c r="A100" t="s">
        <v>170</v>
      </c>
      <c r="B100" s="3">
        <v>0</v>
      </c>
      <c r="C100" s="3">
        <v>1.6013192440384491E-4</v>
      </c>
      <c r="D100" s="3">
        <v>2.128130067801823E-3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f t="shared" si="30"/>
        <v>2.2882619922056681E-3</v>
      </c>
      <c r="L100" s="4">
        <f t="shared" si="31"/>
        <v>0</v>
      </c>
      <c r="M100" s="4">
        <f t="shared" si="32"/>
        <v>6.9979716024340763E-2</v>
      </c>
      <c r="N100" s="4">
        <f t="shared" si="33"/>
        <v>0.93002028397565917</v>
      </c>
      <c r="O100" s="4">
        <f t="shared" si="34"/>
        <v>0</v>
      </c>
      <c r="P100" s="4">
        <f t="shared" si="35"/>
        <v>0</v>
      </c>
      <c r="Q100" s="4">
        <f t="shared" si="36"/>
        <v>0</v>
      </c>
      <c r="R100" s="4">
        <f t="shared" si="37"/>
        <v>0</v>
      </c>
      <c r="S100" s="4">
        <f t="shared" si="38"/>
        <v>0</v>
      </c>
      <c r="T100" s="4">
        <f t="shared" si="39"/>
        <v>0</v>
      </c>
      <c r="U100" s="4">
        <f>IF(K118&gt;0, K100/K118, 0)</f>
        <v>1.8603756034192426E-5</v>
      </c>
    </row>
    <row r="101" spans="1:21" x14ac:dyDescent="0.25">
      <c r="A101" t="s">
        <v>172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f t="shared" si="30"/>
        <v>0</v>
      </c>
      <c r="L101" s="4">
        <f t="shared" si="31"/>
        <v>0</v>
      </c>
      <c r="M101" s="4">
        <f t="shared" si="32"/>
        <v>0</v>
      </c>
      <c r="N101" s="4">
        <f t="shared" si="33"/>
        <v>0</v>
      </c>
      <c r="O101" s="4">
        <f t="shared" si="34"/>
        <v>0</v>
      </c>
      <c r="P101" s="4">
        <f t="shared" si="35"/>
        <v>0</v>
      </c>
      <c r="Q101" s="4">
        <f t="shared" si="36"/>
        <v>0</v>
      </c>
      <c r="R101" s="4">
        <f t="shared" si="37"/>
        <v>0</v>
      </c>
      <c r="S101" s="4">
        <f t="shared" si="38"/>
        <v>0</v>
      </c>
      <c r="T101" s="4">
        <f t="shared" si="39"/>
        <v>0</v>
      </c>
      <c r="U101" s="4">
        <f>IF(K118&gt;0, K101/K118, 0)</f>
        <v>0</v>
      </c>
    </row>
    <row r="102" spans="1:21" x14ac:dyDescent="0.25">
      <c r="A102" t="s">
        <v>174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f t="shared" si="30"/>
        <v>0</v>
      </c>
      <c r="L102" s="4">
        <f t="shared" si="31"/>
        <v>0</v>
      </c>
      <c r="M102" s="4">
        <f t="shared" si="32"/>
        <v>0</v>
      </c>
      <c r="N102" s="4">
        <f t="shared" si="33"/>
        <v>0</v>
      </c>
      <c r="O102" s="4">
        <f t="shared" si="34"/>
        <v>0</v>
      </c>
      <c r="P102" s="4">
        <f t="shared" si="35"/>
        <v>0</v>
      </c>
      <c r="Q102" s="4">
        <f t="shared" si="36"/>
        <v>0</v>
      </c>
      <c r="R102" s="4">
        <f t="shared" si="37"/>
        <v>0</v>
      </c>
      <c r="S102" s="4">
        <f t="shared" si="38"/>
        <v>0</v>
      </c>
      <c r="T102" s="4">
        <f t="shared" si="39"/>
        <v>0</v>
      </c>
      <c r="U102" s="4">
        <f>IF(K118&gt;0, K102/K118, 0)</f>
        <v>0</v>
      </c>
    </row>
    <row r="103" spans="1:21" x14ac:dyDescent="0.25">
      <c r="A103" t="s">
        <v>176</v>
      </c>
      <c r="B103" s="3">
        <v>0</v>
      </c>
      <c r="C103" s="3">
        <v>3.7132040441471273E-4</v>
      </c>
      <c r="D103" s="3">
        <v>1.1497008021690543E-2</v>
      </c>
      <c r="E103" s="3">
        <v>0.11218749793632268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f t="shared" si="30"/>
        <v>0.12405582636242794</v>
      </c>
      <c r="L103" s="4">
        <f t="shared" si="31"/>
        <v>0</v>
      </c>
      <c r="M103" s="4">
        <f t="shared" si="32"/>
        <v>2.9931718267701803E-3</v>
      </c>
      <c r="N103" s="4">
        <f t="shared" si="33"/>
        <v>9.2676082686371702E-2</v>
      </c>
      <c r="O103" s="4">
        <f t="shared" si="34"/>
        <v>0.9043307454868581</v>
      </c>
      <c r="P103" s="4">
        <f t="shared" si="35"/>
        <v>0</v>
      </c>
      <c r="Q103" s="4">
        <f t="shared" si="36"/>
        <v>0</v>
      </c>
      <c r="R103" s="4">
        <f t="shared" si="37"/>
        <v>0</v>
      </c>
      <c r="S103" s="4">
        <f t="shared" si="38"/>
        <v>0</v>
      </c>
      <c r="T103" s="4">
        <f t="shared" si="39"/>
        <v>0</v>
      </c>
      <c r="U103" s="4">
        <f>IF(K118&gt;0, K103/K118, 0)</f>
        <v>1.008583954166081E-3</v>
      </c>
    </row>
    <row r="104" spans="1:21" x14ac:dyDescent="0.25">
      <c r="A104" t="s">
        <v>177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f t="shared" si="30"/>
        <v>0</v>
      </c>
      <c r="L104" s="4">
        <f t="shared" si="31"/>
        <v>0</v>
      </c>
      <c r="M104" s="4">
        <f t="shared" si="32"/>
        <v>0</v>
      </c>
      <c r="N104" s="4">
        <f t="shared" si="33"/>
        <v>0</v>
      </c>
      <c r="O104" s="4">
        <f t="shared" si="34"/>
        <v>0</v>
      </c>
      <c r="P104" s="4">
        <f t="shared" si="35"/>
        <v>0</v>
      </c>
      <c r="Q104" s="4">
        <f t="shared" si="36"/>
        <v>0</v>
      </c>
      <c r="R104" s="4">
        <f t="shared" si="37"/>
        <v>0</v>
      </c>
      <c r="S104" s="4">
        <f t="shared" si="38"/>
        <v>0</v>
      </c>
      <c r="T104" s="4">
        <f t="shared" si="39"/>
        <v>0</v>
      </c>
      <c r="U104" s="4">
        <f>IF(K118&gt;0, K104/K118, 0)</f>
        <v>0</v>
      </c>
    </row>
    <row r="105" spans="1:21" x14ac:dyDescent="0.25">
      <c r="A105" t="s">
        <v>178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f t="shared" si="30"/>
        <v>0</v>
      </c>
      <c r="L105" s="4">
        <f t="shared" si="31"/>
        <v>0</v>
      </c>
      <c r="M105" s="4">
        <f t="shared" si="32"/>
        <v>0</v>
      </c>
      <c r="N105" s="4">
        <f t="shared" si="33"/>
        <v>0</v>
      </c>
      <c r="O105" s="4">
        <f t="shared" si="34"/>
        <v>0</v>
      </c>
      <c r="P105" s="4">
        <f t="shared" si="35"/>
        <v>0</v>
      </c>
      <c r="Q105" s="4">
        <f t="shared" si="36"/>
        <v>0</v>
      </c>
      <c r="R105" s="4">
        <f t="shared" si="37"/>
        <v>0</v>
      </c>
      <c r="S105" s="4">
        <f t="shared" si="38"/>
        <v>0</v>
      </c>
      <c r="T105" s="4">
        <f t="shared" si="39"/>
        <v>0</v>
      </c>
      <c r="U105" s="4">
        <f>IF(K118&gt;0, K105/K118, 0)</f>
        <v>0</v>
      </c>
    </row>
    <row r="106" spans="1:21" x14ac:dyDescent="0.25">
      <c r="A106" t="s">
        <v>179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f t="shared" si="30"/>
        <v>0</v>
      </c>
      <c r="L106" s="4">
        <f t="shared" si="31"/>
        <v>0</v>
      </c>
      <c r="M106" s="4">
        <f t="shared" si="32"/>
        <v>0</v>
      </c>
      <c r="N106" s="4">
        <f t="shared" si="33"/>
        <v>0</v>
      </c>
      <c r="O106" s="4">
        <f t="shared" si="34"/>
        <v>0</v>
      </c>
      <c r="P106" s="4">
        <f t="shared" si="35"/>
        <v>0</v>
      </c>
      <c r="Q106" s="4">
        <f t="shared" si="36"/>
        <v>0</v>
      </c>
      <c r="R106" s="4">
        <f t="shared" si="37"/>
        <v>0</v>
      </c>
      <c r="S106" s="4">
        <f t="shared" si="38"/>
        <v>0</v>
      </c>
      <c r="T106" s="4">
        <f t="shared" si="39"/>
        <v>0</v>
      </c>
      <c r="U106" s="4">
        <f>IF(K118&gt;0, K106/K118, 0)</f>
        <v>0</v>
      </c>
    </row>
    <row r="107" spans="1:21" x14ac:dyDescent="0.25">
      <c r="A107" t="s">
        <v>180</v>
      </c>
      <c r="B107" s="3">
        <v>0</v>
      </c>
      <c r="C107" s="3">
        <v>7.1015027344313825E-4</v>
      </c>
      <c r="D107" s="3">
        <v>0.11831892611422062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f t="shared" si="30"/>
        <v>0.11902907638766376</v>
      </c>
      <c r="L107" s="4">
        <f t="shared" si="31"/>
        <v>0</v>
      </c>
      <c r="M107" s="4">
        <f t="shared" si="32"/>
        <v>5.9661915810407702E-3</v>
      </c>
      <c r="N107" s="4">
        <f t="shared" si="33"/>
        <v>0.99403380841895927</v>
      </c>
      <c r="O107" s="4">
        <f t="shared" si="34"/>
        <v>0</v>
      </c>
      <c r="P107" s="4">
        <f t="shared" si="35"/>
        <v>0</v>
      </c>
      <c r="Q107" s="4">
        <f t="shared" si="36"/>
        <v>0</v>
      </c>
      <c r="R107" s="4">
        <f t="shared" si="37"/>
        <v>0</v>
      </c>
      <c r="S107" s="4">
        <f t="shared" si="38"/>
        <v>0</v>
      </c>
      <c r="T107" s="4">
        <f t="shared" si="39"/>
        <v>0</v>
      </c>
      <c r="U107" s="4">
        <f>IF(K118&gt;0, K107/K118, 0)</f>
        <v>9.6771606819238845E-4</v>
      </c>
    </row>
    <row r="108" spans="1:21" x14ac:dyDescent="0.25">
      <c r="A108" t="s">
        <v>181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f t="shared" si="30"/>
        <v>0</v>
      </c>
      <c r="L108" s="4">
        <f t="shared" si="31"/>
        <v>0</v>
      </c>
      <c r="M108" s="4">
        <f t="shared" si="32"/>
        <v>0</v>
      </c>
      <c r="N108" s="4">
        <f t="shared" si="33"/>
        <v>0</v>
      </c>
      <c r="O108" s="4">
        <f t="shared" si="34"/>
        <v>0</v>
      </c>
      <c r="P108" s="4">
        <f t="shared" si="35"/>
        <v>0</v>
      </c>
      <c r="Q108" s="4">
        <f t="shared" si="36"/>
        <v>0</v>
      </c>
      <c r="R108" s="4">
        <f t="shared" si="37"/>
        <v>0</v>
      </c>
      <c r="S108" s="4">
        <f t="shared" si="38"/>
        <v>0</v>
      </c>
      <c r="T108" s="4">
        <f t="shared" si="39"/>
        <v>0</v>
      </c>
      <c r="U108" s="4">
        <f>IF(K118&gt;0, K108/K118, 0)</f>
        <v>0</v>
      </c>
    </row>
    <row r="109" spans="1:21" x14ac:dyDescent="0.25">
      <c r="A109" t="s">
        <v>182</v>
      </c>
      <c r="B109" s="3">
        <v>0</v>
      </c>
      <c r="C109" s="3">
        <v>1.1603762637959774E-4</v>
      </c>
      <c r="D109" s="3">
        <v>1.1123366864748241E-2</v>
      </c>
      <c r="E109" s="3">
        <v>1.3481251432781666E-2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f t="shared" si="30"/>
        <v>2.4720655923909506E-2</v>
      </c>
      <c r="L109" s="4">
        <f t="shared" si="31"/>
        <v>0</v>
      </c>
      <c r="M109" s="4">
        <f t="shared" si="32"/>
        <v>4.6939541870071339E-3</v>
      </c>
      <c r="N109" s="4">
        <f t="shared" si="33"/>
        <v>0.44996244836650395</v>
      </c>
      <c r="O109" s="4">
        <f t="shared" si="34"/>
        <v>0.54534359744648886</v>
      </c>
      <c r="P109" s="4">
        <f t="shared" si="35"/>
        <v>0</v>
      </c>
      <c r="Q109" s="4">
        <f t="shared" si="36"/>
        <v>0</v>
      </c>
      <c r="R109" s="4">
        <f t="shared" si="37"/>
        <v>0</v>
      </c>
      <c r="S109" s="4">
        <f t="shared" si="38"/>
        <v>0</v>
      </c>
      <c r="T109" s="4">
        <f t="shared" si="39"/>
        <v>0</v>
      </c>
      <c r="U109" s="4">
        <f>IF(K118&gt;0, K109/K118, 0)</f>
        <v>2.0098094247080901E-4</v>
      </c>
    </row>
    <row r="110" spans="1:21" x14ac:dyDescent="0.25">
      <c r="A110" t="s">
        <v>183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f t="shared" si="30"/>
        <v>0</v>
      </c>
      <c r="L110" s="4">
        <f t="shared" si="31"/>
        <v>0</v>
      </c>
      <c r="M110" s="4">
        <f t="shared" si="32"/>
        <v>0</v>
      </c>
      <c r="N110" s="4">
        <f t="shared" si="33"/>
        <v>0</v>
      </c>
      <c r="O110" s="4">
        <f t="shared" si="34"/>
        <v>0</v>
      </c>
      <c r="P110" s="4">
        <f t="shared" si="35"/>
        <v>0</v>
      </c>
      <c r="Q110" s="4">
        <f t="shared" si="36"/>
        <v>0</v>
      </c>
      <c r="R110" s="4">
        <f t="shared" si="37"/>
        <v>0</v>
      </c>
      <c r="S110" s="4">
        <f t="shared" si="38"/>
        <v>0</v>
      </c>
      <c r="T110" s="4">
        <f t="shared" si="39"/>
        <v>0</v>
      </c>
      <c r="U110" s="4">
        <f>IF(K118&gt;0, K110/K118, 0)</f>
        <v>0</v>
      </c>
    </row>
    <row r="111" spans="1:21" x14ac:dyDescent="0.25">
      <c r="A111" t="s">
        <v>184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f t="shared" si="30"/>
        <v>0</v>
      </c>
      <c r="L111" s="4">
        <f t="shared" si="31"/>
        <v>0</v>
      </c>
      <c r="M111" s="4">
        <f t="shared" si="32"/>
        <v>0</v>
      </c>
      <c r="N111" s="4">
        <f t="shared" si="33"/>
        <v>0</v>
      </c>
      <c r="O111" s="4">
        <f t="shared" si="34"/>
        <v>0</v>
      </c>
      <c r="P111" s="4">
        <f t="shared" si="35"/>
        <v>0</v>
      </c>
      <c r="Q111" s="4">
        <f t="shared" si="36"/>
        <v>0</v>
      </c>
      <c r="R111" s="4">
        <f t="shared" si="37"/>
        <v>0</v>
      </c>
      <c r="S111" s="4">
        <f t="shared" si="38"/>
        <v>0</v>
      </c>
      <c r="T111" s="4">
        <f t="shared" si="39"/>
        <v>0</v>
      </c>
      <c r="U111" s="4">
        <f>IF(K118&gt;0, K111/K118, 0)</f>
        <v>0</v>
      </c>
    </row>
    <row r="112" spans="1:21" x14ac:dyDescent="0.25">
      <c r="A112" t="s">
        <v>185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f t="shared" si="30"/>
        <v>0</v>
      </c>
      <c r="L112" s="4">
        <f t="shared" si="31"/>
        <v>0</v>
      </c>
      <c r="M112" s="4">
        <f t="shared" si="32"/>
        <v>0</v>
      </c>
      <c r="N112" s="4">
        <f t="shared" si="33"/>
        <v>0</v>
      </c>
      <c r="O112" s="4">
        <f t="shared" si="34"/>
        <v>0</v>
      </c>
      <c r="P112" s="4">
        <f t="shared" si="35"/>
        <v>0</v>
      </c>
      <c r="Q112" s="4">
        <f t="shared" si="36"/>
        <v>0</v>
      </c>
      <c r="R112" s="4">
        <f t="shared" si="37"/>
        <v>0</v>
      </c>
      <c r="S112" s="4">
        <f t="shared" si="38"/>
        <v>0</v>
      </c>
      <c r="T112" s="4">
        <f t="shared" si="39"/>
        <v>0</v>
      </c>
      <c r="U112" s="4">
        <f>IF(K118&gt;0, K112/K118, 0)</f>
        <v>0</v>
      </c>
    </row>
    <row r="113" spans="1:21" x14ac:dyDescent="0.25">
      <c r="A113" t="s">
        <v>186</v>
      </c>
      <c r="B113" s="3">
        <v>0</v>
      </c>
      <c r="C113" s="3">
        <v>1.7869794462458056E-4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f t="shared" si="30"/>
        <v>1.7869794462458056E-4</v>
      </c>
      <c r="L113" s="4">
        <f t="shared" si="31"/>
        <v>0</v>
      </c>
      <c r="M113" s="4">
        <f t="shared" si="32"/>
        <v>1</v>
      </c>
      <c r="N113" s="4">
        <f t="shared" si="33"/>
        <v>0</v>
      </c>
      <c r="O113" s="4">
        <f t="shared" si="34"/>
        <v>0</v>
      </c>
      <c r="P113" s="4">
        <f t="shared" si="35"/>
        <v>0</v>
      </c>
      <c r="Q113" s="4">
        <f t="shared" si="36"/>
        <v>0</v>
      </c>
      <c r="R113" s="4">
        <f t="shared" si="37"/>
        <v>0</v>
      </c>
      <c r="S113" s="4">
        <f t="shared" si="38"/>
        <v>0</v>
      </c>
      <c r="T113" s="4">
        <f t="shared" si="39"/>
        <v>0</v>
      </c>
      <c r="U113" s="4">
        <f>IF(K118&gt;0, K113/K118, 0)</f>
        <v>1.4528288180860209E-6</v>
      </c>
    </row>
    <row r="114" spans="1:21" x14ac:dyDescent="0.25">
      <c r="A114" t="s">
        <v>187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f t="shared" si="30"/>
        <v>0</v>
      </c>
      <c r="L114" s="4">
        <f t="shared" si="31"/>
        <v>0</v>
      </c>
      <c r="M114" s="4">
        <f t="shared" si="32"/>
        <v>0</v>
      </c>
      <c r="N114" s="4">
        <f t="shared" si="33"/>
        <v>0</v>
      </c>
      <c r="O114" s="4">
        <f t="shared" si="34"/>
        <v>0</v>
      </c>
      <c r="P114" s="4">
        <f t="shared" si="35"/>
        <v>0</v>
      </c>
      <c r="Q114" s="4">
        <f t="shared" si="36"/>
        <v>0</v>
      </c>
      <c r="R114" s="4">
        <f t="shared" si="37"/>
        <v>0</v>
      </c>
      <c r="S114" s="4">
        <f t="shared" si="38"/>
        <v>0</v>
      </c>
      <c r="T114" s="4">
        <f t="shared" si="39"/>
        <v>0</v>
      </c>
      <c r="U114" s="4">
        <f>IF(K118&gt;0, K114/K118, 0)</f>
        <v>0</v>
      </c>
    </row>
    <row r="115" spans="1:21" x14ac:dyDescent="0.25">
      <c r="A115" t="s">
        <v>188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f t="shared" si="30"/>
        <v>0</v>
      </c>
      <c r="L115" s="4">
        <f t="shared" si="31"/>
        <v>0</v>
      </c>
      <c r="M115" s="4">
        <f t="shared" si="32"/>
        <v>0</v>
      </c>
      <c r="N115" s="4">
        <f t="shared" si="33"/>
        <v>0</v>
      </c>
      <c r="O115" s="4">
        <f t="shared" si="34"/>
        <v>0</v>
      </c>
      <c r="P115" s="4">
        <f t="shared" si="35"/>
        <v>0</v>
      </c>
      <c r="Q115" s="4">
        <f t="shared" si="36"/>
        <v>0</v>
      </c>
      <c r="R115" s="4">
        <f t="shared" si="37"/>
        <v>0</v>
      </c>
      <c r="S115" s="4">
        <f t="shared" si="38"/>
        <v>0</v>
      </c>
      <c r="T115" s="4">
        <f t="shared" si="39"/>
        <v>0</v>
      </c>
      <c r="U115" s="4">
        <f>IF(K118&gt;0, K115/K118, 0)</f>
        <v>0</v>
      </c>
    </row>
    <row r="116" spans="1:21" x14ac:dyDescent="0.25">
      <c r="A116" t="s">
        <v>189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f t="shared" si="30"/>
        <v>0</v>
      </c>
      <c r="L116" s="4">
        <f t="shared" si="31"/>
        <v>0</v>
      </c>
      <c r="M116" s="4">
        <f t="shared" si="32"/>
        <v>0</v>
      </c>
      <c r="N116" s="4">
        <f t="shared" si="33"/>
        <v>0</v>
      </c>
      <c r="O116" s="4">
        <f t="shared" si="34"/>
        <v>0</v>
      </c>
      <c r="P116" s="4">
        <f t="shared" si="35"/>
        <v>0</v>
      </c>
      <c r="Q116" s="4">
        <f t="shared" si="36"/>
        <v>0</v>
      </c>
      <c r="R116" s="4">
        <f t="shared" si="37"/>
        <v>0</v>
      </c>
      <c r="S116" s="4">
        <f t="shared" si="38"/>
        <v>0</v>
      </c>
      <c r="T116" s="4">
        <f t="shared" si="39"/>
        <v>0</v>
      </c>
      <c r="U116" s="4">
        <f>IF(K118&gt;0, K116/K118, 0)</f>
        <v>0</v>
      </c>
    </row>
    <row r="117" spans="1:21" x14ac:dyDescent="0.25">
      <c r="A117" t="s">
        <v>190</v>
      </c>
      <c r="B117" s="3">
        <v>0</v>
      </c>
      <c r="C117" s="3">
        <v>0</v>
      </c>
      <c r="D117" s="3">
        <v>9.9978018888661393E-3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f t="shared" si="30"/>
        <v>9.9978018888661393E-3</v>
      </c>
      <c r="L117" s="4">
        <f t="shared" si="31"/>
        <v>0</v>
      </c>
      <c r="M117" s="4">
        <f t="shared" si="32"/>
        <v>0</v>
      </c>
      <c r="N117" s="4">
        <f t="shared" si="33"/>
        <v>1</v>
      </c>
      <c r="O117" s="4">
        <f t="shared" si="34"/>
        <v>0</v>
      </c>
      <c r="P117" s="4">
        <f t="shared" si="35"/>
        <v>0</v>
      </c>
      <c r="Q117" s="4">
        <f t="shared" si="36"/>
        <v>0</v>
      </c>
      <c r="R117" s="4">
        <f t="shared" si="37"/>
        <v>0</v>
      </c>
      <c r="S117" s="4">
        <f t="shared" si="38"/>
        <v>0</v>
      </c>
      <c r="T117" s="4">
        <f t="shared" si="39"/>
        <v>0</v>
      </c>
      <c r="U117" s="4">
        <f>IF(K118&gt;0, K117/K118, 0)</f>
        <v>8.1282942185903582E-5</v>
      </c>
    </row>
    <row r="118" spans="1:21" x14ac:dyDescent="0.25">
      <c r="A118" t="s">
        <v>175</v>
      </c>
      <c r="B118" s="3">
        <f>SUBTOTAL(109,TabelleWeight[0 - 1 '[mm']])</f>
        <v>4.2933921760451166E-4</v>
      </c>
      <c r="C118" s="3">
        <f>SUBTOTAL(109,TabelleWeight[1 - 2,5 '[mm']])</f>
        <v>0.15841688828595443</v>
      </c>
      <c r="D118" s="3">
        <f>SUBTOTAL(109,TabelleWeight[2,5 - 5 '[mm']])</f>
        <v>19.467685955013252</v>
      </c>
      <c r="E118" s="3">
        <f>SUBTOTAL(109,TabelleWeight[5 - 7,5 '[mm']])</f>
        <v>95.006240579018311</v>
      </c>
      <c r="F118" s="3">
        <f>SUBTOTAL(109,TabelleWeight[7,5 - 10 '[mm']])</f>
        <v>8.3672272384648672</v>
      </c>
      <c r="G118" s="3">
        <f>SUBTOTAL(109,TabelleWeight[10 - 15 '[mm']])</f>
        <v>0</v>
      </c>
      <c r="H118" s="3">
        <f>SUBTOTAL(109,TabelleWeight[15 - 20 '[mm']])</f>
        <v>0</v>
      </c>
      <c r="I118" s="3">
        <f>SUBTOTAL(109,TabelleWeight[20 - 30 '[mm']])</f>
        <v>0</v>
      </c>
      <c r="J118" s="3">
        <f>SUBTOTAL(109,TabelleWeight[&gt; 30 '[mm']])</f>
        <v>0</v>
      </c>
      <c r="K118" s="3">
        <f>SUBTOTAL(109,TabelleWeight[Summe '[mm']])</f>
        <v>122.99999999999999</v>
      </c>
      <c r="L118" s="4">
        <f>IF(K118&gt; 0, B118/K118, 0)</f>
        <v>3.4905627447521276E-6</v>
      </c>
      <c r="M118" s="4">
        <f>IF(K118&gt; 0, C118/K118, 0)</f>
        <v>1.2879421811866215E-3</v>
      </c>
      <c r="N118" s="4">
        <f>IF(K118&gt; 0, D118/K118, 0)</f>
        <v>0.15827386955295328</v>
      </c>
      <c r="O118" s="4">
        <f>IF(K118&gt; 0, E118/K118, 0)</f>
        <v>0.7724084599920189</v>
      </c>
      <c r="P118" s="4">
        <f>IF(K118&gt; 0, F118/K118, 0)</f>
        <v>6.8026237711096491E-2</v>
      </c>
      <c r="Q118" s="4">
        <f>IF(K118&gt; 0, G118/K118, 0)</f>
        <v>0</v>
      </c>
      <c r="R118" s="4">
        <f>IF(K118&gt; 0, H118/K118, 0)</f>
        <v>0</v>
      </c>
      <c r="S118" s="4">
        <f>IF(K118&gt; 0, I118/K118, 0)</f>
        <v>0</v>
      </c>
      <c r="T118" s="4">
        <f>IF(K118&gt; 0, J118/K118, 0)</f>
        <v>0</v>
      </c>
      <c r="U118" s="4">
        <f>SUBTOTAL(109,TabelleWeight[Summe '[%']])</f>
        <v>1.0000000000000002</v>
      </c>
    </row>
  </sheetData>
  <sheetProtection sheet="1" objects="1" scenarios="1"/>
  <mergeCells count="4">
    <mergeCell ref="A1:U1"/>
    <mergeCell ref="A31:U31"/>
    <mergeCell ref="A61:U61"/>
    <mergeCell ref="A91:U91"/>
  </mergeCells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sheetProtection sheet="1" objects="1" scenarios="1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Z17"/>
  <sheetViews>
    <sheetView workbookViewId="0"/>
  </sheetViews>
  <sheetFormatPr baseColWidth="10" defaultColWidth="9.140625" defaultRowHeight="15" x14ac:dyDescent="0.25"/>
  <cols>
    <col min="1" max="1" width="18.7109375" customWidth="1"/>
    <col min="2" max="2" width="23.7109375" customWidth="1"/>
    <col min="3" max="3" width="22.28515625" customWidth="1"/>
    <col min="4" max="4" width="20.28515625" customWidth="1"/>
    <col min="5" max="5" width="23.140625" customWidth="1"/>
    <col min="6" max="6" width="22.42578125" customWidth="1"/>
    <col min="7" max="7" width="21.140625" customWidth="1"/>
    <col min="8" max="8" width="25.140625" customWidth="1"/>
    <col min="9" max="9" width="21.7109375" customWidth="1"/>
    <col min="10" max="10" width="22.42578125" customWidth="1"/>
    <col min="11" max="11" width="20.42578125" customWidth="1"/>
    <col min="12" max="12" width="23.140625" customWidth="1"/>
    <col min="13" max="13" width="22.42578125" customWidth="1"/>
    <col min="14" max="14" width="21.28515625" customWidth="1"/>
    <col min="15" max="15" width="25.140625" customWidth="1"/>
    <col min="16" max="16" width="17.7109375" customWidth="1"/>
    <col min="17" max="17" width="16.5703125" customWidth="1"/>
    <col min="18" max="19" width="18" customWidth="1"/>
    <col min="20" max="21" width="16.85546875" customWidth="1"/>
    <col min="22" max="22" width="17.7109375" customWidth="1"/>
    <col min="23" max="23" width="26.5703125" customWidth="1"/>
    <col min="24" max="24" width="19.7109375" customWidth="1"/>
    <col min="25" max="25" width="16.42578125" customWidth="1"/>
    <col min="26" max="26" width="19.140625" customWidth="1"/>
    <col min="27" max="27" width="21.85546875" customWidth="1"/>
    <col min="28" max="28" width="20.42578125" customWidth="1"/>
    <col min="29" max="29" width="18.42578125" customWidth="1"/>
    <col min="30" max="30" width="21.140625" customWidth="1"/>
    <col min="31" max="31" width="20.5703125" customWidth="1"/>
    <col min="32" max="32" width="19.28515625" customWidth="1"/>
    <col min="33" max="33" width="23.28515625" customWidth="1"/>
    <col min="34" max="34" width="19.85546875" customWidth="1"/>
    <col min="35" max="35" width="20.5703125" customWidth="1"/>
    <col min="36" max="36" width="18.5703125" customWidth="1"/>
    <col min="37" max="37" width="21.28515625" customWidth="1"/>
    <col min="38" max="38" width="20.5703125" customWidth="1"/>
    <col min="39" max="39" width="19.42578125" customWidth="1"/>
    <col min="40" max="40" width="23.28515625" customWidth="1"/>
    <col min="41" max="41" width="15.85546875" customWidth="1"/>
    <col min="42" max="42" width="14.7109375" customWidth="1"/>
    <col min="43" max="43" width="16.140625" customWidth="1"/>
    <col min="44" max="44" width="16" customWidth="1"/>
    <col min="45" max="45" width="15" customWidth="1"/>
    <col min="46" max="46" width="14.85546875" customWidth="1"/>
    <col min="47" max="47" width="15.85546875" customWidth="1"/>
    <col min="48" max="48" width="24.7109375" customWidth="1"/>
    <col min="49" max="49" width="17.85546875" customWidth="1"/>
    <col min="50" max="50" width="14.5703125" customWidth="1"/>
    <col min="51" max="51" width="17.28515625" customWidth="1"/>
    <col min="52" max="52" width="25.140625" customWidth="1"/>
    <col min="53" max="53" width="23.85546875" customWidth="1"/>
    <col min="54" max="54" width="21.85546875" customWidth="1"/>
    <col min="55" max="55" width="24.5703125" customWidth="1"/>
    <col min="56" max="56" width="23.85546875" customWidth="1"/>
    <col min="57" max="57" width="22.7109375" customWidth="1"/>
    <col min="58" max="58" width="26.5703125" customWidth="1"/>
    <col min="59" max="59" width="23.140625" customWidth="1"/>
    <col min="60" max="60" width="23.85546875" customWidth="1"/>
    <col min="61" max="61" width="21.85546875" customWidth="1"/>
    <col min="62" max="62" width="24.7109375" customWidth="1"/>
    <col min="63" max="63" width="24" customWidth="1"/>
    <col min="64" max="64" width="22.7109375" customWidth="1"/>
    <col min="65" max="65" width="26.7109375" customWidth="1"/>
    <col min="66" max="66" width="19.28515625" customWidth="1"/>
    <col min="67" max="67" width="18.140625" customWidth="1"/>
    <col min="68" max="68" width="19.5703125" customWidth="1"/>
    <col min="69" max="69" width="19.42578125" customWidth="1"/>
    <col min="70" max="70" width="18.42578125" customWidth="1"/>
    <col min="71" max="71" width="18.28515625" customWidth="1"/>
    <col min="72" max="72" width="19.28515625" customWidth="1"/>
    <col min="73" max="73" width="28.140625" customWidth="1"/>
    <col min="74" max="74" width="21.140625" customWidth="1"/>
    <col min="75" max="75" width="18" customWidth="1"/>
    <col min="76" max="76" width="20.5703125" customWidth="1"/>
    <col min="77" max="77" width="24.7109375" customWidth="1"/>
    <col min="78" max="78" width="23.42578125" customWidth="1"/>
    <col min="79" max="79" width="21.42578125" customWidth="1"/>
    <col min="80" max="80" width="24.140625" customWidth="1"/>
    <col min="81" max="81" width="23.42578125" customWidth="1"/>
    <col min="82" max="82" width="22.28515625" customWidth="1"/>
    <col min="83" max="83" width="26.140625" customWidth="1"/>
    <col min="84" max="84" width="22.7109375" customWidth="1"/>
    <col min="85" max="85" width="23.42578125" customWidth="1"/>
    <col min="86" max="86" width="21.42578125" customWidth="1"/>
    <col min="87" max="87" width="24.28515625" customWidth="1"/>
    <col min="88" max="88" width="23.5703125" customWidth="1"/>
    <col min="89" max="89" width="22.28515625" customWidth="1"/>
    <col min="90" max="90" width="26.28515625" customWidth="1"/>
    <col min="91" max="91" width="18.85546875" customWidth="1"/>
    <col min="92" max="92" width="17.7109375" customWidth="1"/>
    <col min="93" max="93" width="19.140625" customWidth="1"/>
    <col min="94" max="94" width="19" customWidth="1"/>
    <col min="95" max="95" width="18" customWidth="1"/>
    <col min="96" max="96" width="17.85546875" customWidth="1"/>
    <col min="97" max="97" width="18.85546875" customWidth="1"/>
    <col min="98" max="98" width="27.7109375" customWidth="1"/>
    <col min="99" max="99" width="20.7109375" customWidth="1"/>
    <col min="100" max="100" width="17.5703125" customWidth="1"/>
    <col min="101" max="101" width="20.140625" customWidth="1"/>
    <col min="102" max="111" width="9.140625" customWidth="1"/>
    <col min="112" max="121" width="9.28515625" customWidth="1"/>
    <col min="122" max="123" width="9.140625" customWidth="1"/>
    <col min="124" max="124" width="9.42578125" customWidth="1"/>
    <col min="125" max="125" width="10.5703125" customWidth="1"/>
    <col min="126" max="126" width="9.42578125" customWidth="1"/>
    <col min="127" max="130" width="9.140625" customWidth="1"/>
  </cols>
  <sheetData>
    <row r="1" spans="1:1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 t="s">
        <v>130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</row>
    <row r="3" spans="1:130" x14ac:dyDescent="0.25">
      <c r="A3" t="s">
        <v>131</v>
      </c>
      <c r="B3" s="1">
        <v>1</v>
      </c>
      <c r="C3" s="1">
        <v>0</v>
      </c>
      <c r="D3" s="1">
        <v>3</v>
      </c>
      <c r="E3" s="1">
        <v>338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46.1</v>
      </c>
      <c r="AB3" s="1">
        <v>0</v>
      </c>
      <c r="AC3" s="1">
        <v>140.69999999999999</v>
      </c>
      <c r="AD3" s="1">
        <v>17488.599999999999</v>
      </c>
      <c r="AE3" s="1">
        <v>25.8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27.26</v>
      </c>
      <c r="BA3" s="1">
        <v>0</v>
      </c>
      <c r="BB3" s="1">
        <v>233.85</v>
      </c>
      <c r="BC3" s="1">
        <v>23128.01</v>
      </c>
      <c r="BD3" s="1">
        <v>13.93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2.5630000000000003E-2</v>
      </c>
      <c r="BZ3" s="1">
        <v>0</v>
      </c>
      <c r="CA3" s="1">
        <v>0.21982000000000002</v>
      </c>
      <c r="CB3" s="1">
        <v>21.74033</v>
      </c>
      <c r="CC3" s="1">
        <v>1.3100000000000001E-2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9.2758620689655166E-2</v>
      </c>
      <c r="CZ3" s="1">
        <v>1.5562068965517242</v>
      </c>
      <c r="DA3" s="1">
        <v>4.8217241379310343</v>
      </c>
      <c r="DB3" s="1">
        <v>3.3865517241379308</v>
      </c>
      <c r="DC3" s="1">
        <v>5.5282758620689654</v>
      </c>
      <c r="DD3" s="1">
        <v>4.0648275862068965</v>
      </c>
      <c r="DE3" s="1">
        <v>1.5737931034482759</v>
      </c>
      <c r="DF3" s="1">
        <v>3.5931034482758624</v>
      </c>
      <c r="DG3" s="1">
        <v>3.3624137931034479</v>
      </c>
      <c r="DH3" s="1">
        <v>1.7893103448275862</v>
      </c>
      <c r="DI3" s="1">
        <v>1.6210344827586207</v>
      </c>
      <c r="DJ3" s="1">
        <v>2.1103448275862071</v>
      </c>
      <c r="DK3" s="1">
        <v>0.89448275862068971</v>
      </c>
      <c r="DL3" s="1">
        <v>0.88379310344827577</v>
      </c>
      <c r="DM3" s="1">
        <v>0.66827586206896561</v>
      </c>
      <c r="DN3" s="1">
        <v>1.1206896551724137</v>
      </c>
      <c r="DO3" s="1">
        <v>9.6896551724137928E-2</v>
      </c>
      <c r="DP3" s="1">
        <v>0</v>
      </c>
      <c r="DQ3" s="1">
        <v>0</v>
      </c>
      <c r="DR3" s="1">
        <v>0</v>
      </c>
      <c r="DS3" s="1">
        <v>96.38</v>
      </c>
      <c r="DT3" s="1">
        <v>1290.71</v>
      </c>
      <c r="DU3" s="1">
        <v>5449.89</v>
      </c>
      <c r="DV3" s="1">
        <v>1082.08</v>
      </c>
      <c r="DW3" s="1">
        <v>0</v>
      </c>
      <c r="DX3" s="1">
        <v>0</v>
      </c>
      <c r="DY3" s="1">
        <v>0</v>
      </c>
      <c r="DZ3" s="1">
        <v>0</v>
      </c>
    </row>
    <row r="4" spans="1:130" x14ac:dyDescent="0.25">
      <c r="A4" t="s">
        <v>132</v>
      </c>
      <c r="B4" s="1">
        <v>2</v>
      </c>
      <c r="C4" s="1">
        <v>0</v>
      </c>
      <c r="D4" s="1">
        <v>0</v>
      </c>
      <c r="E4" s="1">
        <v>493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63.499999999999993</v>
      </c>
      <c r="AB4" s="1">
        <v>0</v>
      </c>
      <c r="AC4" s="1">
        <v>0</v>
      </c>
      <c r="AD4" s="1">
        <v>25345.199999999997</v>
      </c>
      <c r="AE4" s="1">
        <v>0</v>
      </c>
      <c r="AF4" s="1">
        <v>26.5</v>
      </c>
      <c r="AG4" s="1">
        <v>0</v>
      </c>
      <c r="AH4" s="1">
        <v>0</v>
      </c>
      <c r="AI4" s="1">
        <v>0</v>
      </c>
      <c r="AJ4" s="1">
        <v>0</v>
      </c>
      <c r="AK4" s="1">
        <v>15.4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158.29</v>
      </c>
      <c r="BA4" s="1">
        <v>0</v>
      </c>
      <c r="BB4" s="1">
        <v>0</v>
      </c>
      <c r="BC4" s="1">
        <v>40399.069999999992</v>
      </c>
      <c r="BD4" s="1">
        <v>0</v>
      </c>
      <c r="BE4" s="1">
        <v>15.02</v>
      </c>
      <c r="BF4" s="1">
        <v>0</v>
      </c>
      <c r="BG4" s="1">
        <v>0</v>
      </c>
      <c r="BH4" s="1">
        <v>0</v>
      </c>
      <c r="BI4" s="1">
        <v>0</v>
      </c>
      <c r="BJ4" s="1">
        <v>14.3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0.14878999999999998</v>
      </c>
      <c r="BZ4" s="1">
        <v>0</v>
      </c>
      <c r="CA4" s="1">
        <v>0</v>
      </c>
      <c r="CB4" s="1">
        <v>37.975159999999995</v>
      </c>
      <c r="CC4" s="1">
        <v>0</v>
      </c>
      <c r="CD4" s="1">
        <v>1.4120000000000001E-2</v>
      </c>
      <c r="CE4" s="1">
        <v>0</v>
      </c>
      <c r="CF4" s="1">
        <v>0</v>
      </c>
      <c r="CG4" s="1">
        <v>0</v>
      </c>
      <c r="CH4" s="1">
        <v>0</v>
      </c>
      <c r="CI4" s="1">
        <v>1.302E-2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0.31068965517241387</v>
      </c>
      <c r="CZ4" s="1">
        <v>1.5344827586206897</v>
      </c>
      <c r="DA4" s="1">
        <v>1.6468965517241381</v>
      </c>
      <c r="DB4" s="1">
        <v>4.1603448275862061</v>
      </c>
      <c r="DC4" s="1">
        <v>4.0458620689655165</v>
      </c>
      <c r="DD4" s="1">
        <v>4.030344827586207</v>
      </c>
      <c r="DE4" s="1">
        <v>3.0631034482758626</v>
      </c>
      <c r="DF4" s="1">
        <v>2.5693103448275858</v>
      </c>
      <c r="DG4" s="1">
        <v>1.4762068965517243</v>
      </c>
      <c r="DH4" s="1">
        <v>1.55</v>
      </c>
      <c r="DI4" s="1">
        <v>1.5541379310344827</v>
      </c>
      <c r="DJ4" s="1">
        <v>2.9289655172413798</v>
      </c>
      <c r="DK4" s="1">
        <v>2.566551724137931</v>
      </c>
      <c r="DL4" s="1">
        <v>2.4275862068965512</v>
      </c>
      <c r="DM4" s="1">
        <v>3.3606896551724139</v>
      </c>
      <c r="DN4" s="1">
        <v>3.0824137931034481</v>
      </c>
      <c r="DO4" s="1">
        <v>0.55172413793103448</v>
      </c>
      <c r="DP4" s="1">
        <v>0</v>
      </c>
      <c r="DQ4" s="1">
        <v>0</v>
      </c>
      <c r="DR4" s="1">
        <v>0</v>
      </c>
      <c r="DS4" s="1">
        <v>129.63</v>
      </c>
      <c r="DT4" s="1">
        <v>2758.7599999999998</v>
      </c>
      <c r="DU4" s="1">
        <v>9911.7200000000012</v>
      </c>
      <c r="DV4" s="1">
        <v>1844.38</v>
      </c>
      <c r="DW4" s="1">
        <v>0</v>
      </c>
      <c r="DX4" s="1">
        <v>0</v>
      </c>
      <c r="DY4" s="1">
        <v>0</v>
      </c>
      <c r="DZ4" s="1">
        <v>0</v>
      </c>
    </row>
    <row r="5" spans="1:130" x14ac:dyDescent="0.25">
      <c r="A5" t="s">
        <v>133</v>
      </c>
      <c r="B5" s="1">
        <v>1</v>
      </c>
      <c r="C5" s="1">
        <v>0</v>
      </c>
      <c r="D5" s="1">
        <v>1</v>
      </c>
      <c r="E5" s="1">
        <v>568</v>
      </c>
      <c r="F5" s="1">
        <v>1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2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25.799999999999983</v>
      </c>
      <c r="AB5" s="1">
        <v>0</v>
      </c>
      <c r="AC5" s="1">
        <v>62.5</v>
      </c>
      <c r="AD5" s="1">
        <v>28243.599999999999</v>
      </c>
      <c r="AE5" s="1">
        <v>23.099999999999998</v>
      </c>
      <c r="AF5" s="1">
        <v>87.199999999999989</v>
      </c>
      <c r="AG5" s="1">
        <v>0</v>
      </c>
      <c r="AH5" s="1">
        <v>0</v>
      </c>
      <c r="AI5" s="1">
        <v>0</v>
      </c>
      <c r="AJ5" s="1">
        <v>0</v>
      </c>
      <c r="AK5" s="1">
        <v>16.399999999999999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21.300000000000011</v>
      </c>
      <c r="BA5" s="1">
        <v>0</v>
      </c>
      <c r="BB5" s="1">
        <v>65.260000000000019</v>
      </c>
      <c r="BC5" s="1">
        <v>49902.720000000023</v>
      </c>
      <c r="BD5" s="1">
        <v>14.620000000000001</v>
      </c>
      <c r="BE5" s="1">
        <v>99.04</v>
      </c>
      <c r="BF5" s="1">
        <v>0</v>
      </c>
      <c r="BG5" s="1">
        <v>0</v>
      </c>
      <c r="BH5" s="1">
        <v>0</v>
      </c>
      <c r="BI5" s="1">
        <v>0</v>
      </c>
      <c r="BJ5" s="1">
        <v>2.75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2.002000000000001E-2</v>
      </c>
      <c r="BZ5" s="1">
        <v>0</v>
      </c>
      <c r="CA5" s="1">
        <v>6.1350000000000016E-2</v>
      </c>
      <c r="CB5" s="1">
        <v>46.908589999999997</v>
      </c>
      <c r="CC5" s="1">
        <v>1.3730000000000003E-2</v>
      </c>
      <c r="CD5" s="1">
        <v>9.3100000000000016E-2</v>
      </c>
      <c r="CE5" s="1">
        <v>0</v>
      </c>
      <c r="CF5" s="1">
        <v>0</v>
      </c>
      <c r="CG5" s="1">
        <v>0</v>
      </c>
      <c r="CH5" s="1">
        <v>0</v>
      </c>
      <c r="CI5" s="1">
        <v>2.5000000000000022E-3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1.0407142857142857</v>
      </c>
      <c r="CZ5" s="1">
        <v>8.0607142857142851</v>
      </c>
      <c r="DA5" s="1">
        <v>9.0610714285714273</v>
      </c>
      <c r="DB5" s="1">
        <v>5.9357142857142851</v>
      </c>
      <c r="DC5" s="1">
        <v>2.3328571428571427</v>
      </c>
      <c r="DD5" s="1">
        <v>1.3439285714285716</v>
      </c>
      <c r="DE5" s="1">
        <v>1.3175000000000001</v>
      </c>
      <c r="DF5" s="1">
        <v>1.2857142857142858</v>
      </c>
      <c r="DG5" s="1">
        <v>0.51571428571428568</v>
      </c>
      <c r="DH5" s="1">
        <v>4.4135714285714283</v>
      </c>
      <c r="DI5" s="1">
        <v>4.3064285714285715</v>
      </c>
      <c r="DJ5" s="1">
        <v>5.0764285714285711</v>
      </c>
      <c r="DK5" s="1">
        <v>5.1153571428571425</v>
      </c>
      <c r="DL5" s="1">
        <v>9.8567857142857154</v>
      </c>
      <c r="DM5" s="1">
        <v>6.3671428571428565</v>
      </c>
      <c r="DN5" s="1">
        <v>3.8867857142857147</v>
      </c>
      <c r="DO5" s="1">
        <v>1.2257142857142858</v>
      </c>
      <c r="DP5" s="1">
        <v>0</v>
      </c>
      <c r="DQ5" s="1">
        <v>0</v>
      </c>
      <c r="DR5" s="1">
        <v>0</v>
      </c>
      <c r="DS5" s="1">
        <v>146.23000000000002</v>
      </c>
      <c r="DT5" s="1">
        <v>3281.5500000000006</v>
      </c>
      <c r="DU5" s="1">
        <v>8437.48</v>
      </c>
      <c r="DV5" s="1">
        <v>1594.3599999999997</v>
      </c>
      <c r="DW5" s="1">
        <v>0</v>
      </c>
      <c r="DX5" s="1">
        <v>0</v>
      </c>
      <c r="DY5" s="1">
        <v>0</v>
      </c>
      <c r="DZ5" s="1">
        <v>0</v>
      </c>
    </row>
    <row r="6" spans="1:130" x14ac:dyDescent="0.25">
      <c r="A6" t="s">
        <v>134</v>
      </c>
      <c r="B6" s="1">
        <v>3</v>
      </c>
      <c r="C6" s="1">
        <v>0</v>
      </c>
      <c r="D6" s="1">
        <v>0</v>
      </c>
      <c r="E6" s="1">
        <v>744</v>
      </c>
      <c r="F6" s="1">
        <v>0</v>
      </c>
      <c r="G6" s="1">
        <v>8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88.700000000000017</v>
      </c>
      <c r="AB6" s="1">
        <v>0</v>
      </c>
      <c r="AC6" s="1">
        <v>0</v>
      </c>
      <c r="AD6" s="1">
        <v>36220.699999999997</v>
      </c>
      <c r="AE6" s="1">
        <v>0</v>
      </c>
      <c r="AF6" s="1">
        <v>331.50000000000006</v>
      </c>
      <c r="AG6" s="1">
        <v>0</v>
      </c>
      <c r="AH6" s="1">
        <v>0</v>
      </c>
      <c r="AI6" s="1">
        <v>0</v>
      </c>
      <c r="AJ6" s="1">
        <v>0</v>
      </c>
      <c r="AK6" s="1">
        <v>32.099999999999994</v>
      </c>
      <c r="AL6" s="1">
        <v>0</v>
      </c>
      <c r="AM6" s="1">
        <v>0</v>
      </c>
      <c r="AN6" s="1">
        <v>0</v>
      </c>
      <c r="AO6" s="1">
        <v>18.600000000000001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231.78</v>
      </c>
      <c r="BA6" s="1">
        <v>0</v>
      </c>
      <c r="BB6" s="1">
        <v>0</v>
      </c>
      <c r="BC6" s="1">
        <v>52838.09</v>
      </c>
      <c r="BD6" s="1">
        <v>0</v>
      </c>
      <c r="BE6" s="1">
        <v>489.45</v>
      </c>
      <c r="BF6" s="1">
        <v>0</v>
      </c>
      <c r="BG6" s="1">
        <v>0</v>
      </c>
      <c r="BH6" s="1">
        <v>0</v>
      </c>
      <c r="BI6" s="1">
        <v>0</v>
      </c>
      <c r="BJ6" s="1">
        <v>22.669999999999998</v>
      </c>
      <c r="BK6" s="1">
        <v>0</v>
      </c>
      <c r="BL6" s="1">
        <v>0</v>
      </c>
      <c r="BM6" s="1">
        <v>0</v>
      </c>
      <c r="BN6" s="1">
        <v>8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0.21787000000000006</v>
      </c>
      <c r="BZ6" s="1">
        <v>0</v>
      </c>
      <c r="CA6" s="1">
        <v>0</v>
      </c>
      <c r="CB6" s="1">
        <v>49.667810000000003</v>
      </c>
      <c r="CC6" s="1">
        <v>0</v>
      </c>
      <c r="CD6" s="1">
        <v>0.46007000000000009</v>
      </c>
      <c r="CE6" s="1">
        <v>0</v>
      </c>
      <c r="CF6" s="1">
        <v>0</v>
      </c>
      <c r="CG6" s="1">
        <v>0</v>
      </c>
      <c r="CH6" s="1">
        <v>0</v>
      </c>
      <c r="CI6" s="1">
        <v>2.0619999999999996E-2</v>
      </c>
      <c r="CJ6" s="1">
        <v>0</v>
      </c>
      <c r="CK6" s="1">
        <v>0</v>
      </c>
      <c r="CL6" s="1">
        <v>0</v>
      </c>
      <c r="CM6" s="1">
        <v>1.1050000000000001E-2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0.27928571428571425</v>
      </c>
      <c r="CZ6" s="1">
        <v>6.1953571428571426</v>
      </c>
      <c r="DA6" s="1">
        <v>7.0789285714285706</v>
      </c>
      <c r="DB6" s="1">
        <v>5.0964285714285706</v>
      </c>
      <c r="DC6" s="1">
        <v>3.2728571428571427</v>
      </c>
      <c r="DD6" s="1">
        <v>2.7235714285714288</v>
      </c>
      <c r="DE6" s="1">
        <v>5.3217857142857143</v>
      </c>
      <c r="DF6" s="1">
        <v>6.7710714285714273</v>
      </c>
      <c r="DG6" s="1">
        <v>11.424642857142857</v>
      </c>
      <c r="DH6" s="1">
        <v>9.3864285714285707</v>
      </c>
      <c r="DI6" s="1">
        <v>6.3289285714285706</v>
      </c>
      <c r="DJ6" s="1">
        <v>7.1078571428571422</v>
      </c>
      <c r="DK6" s="1">
        <v>4.67</v>
      </c>
      <c r="DL6" s="1">
        <v>6.5678571428571431</v>
      </c>
      <c r="DM6" s="1">
        <v>6.5271428571428567</v>
      </c>
      <c r="DN6" s="1">
        <v>3.4200000000000004</v>
      </c>
      <c r="DO6" s="1">
        <v>1.0096428571428571</v>
      </c>
      <c r="DP6" s="1">
        <v>0</v>
      </c>
      <c r="DQ6" s="1">
        <v>0</v>
      </c>
      <c r="DR6" s="1">
        <v>0</v>
      </c>
      <c r="DS6" s="1">
        <v>201.89999999999998</v>
      </c>
      <c r="DT6" s="1">
        <v>4708.3500000000004</v>
      </c>
      <c r="DU6" s="1">
        <v>11796.530000000002</v>
      </c>
      <c r="DV6" s="1">
        <v>1219.2200000000003</v>
      </c>
      <c r="DW6" s="1">
        <v>0</v>
      </c>
      <c r="DX6" s="1">
        <v>0</v>
      </c>
      <c r="DY6" s="1">
        <v>0</v>
      </c>
      <c r="DZ6" s="1">
        <v>0</v>
      </c>
    </row>
    <row r="7" spans="1:130" x14ac:dyDescent="0.25">
      <c r="A7" t="s">
        <v>135</v>
      </c>
      <c r="B7" s="1">
        <v>0</v>
      </c>
      <c r="C7" s="1">
        <v>0</v>
      </c>
      <c r="D7" s="1">
        <v>3</v>
      </c>
      <c r="E7" s="1">
        <v>1208</v>
      </c>
      <c r="F7" s="1">
        <v>0</v>
      </c>
      <c r="G7" s="1">
        <v>6</v>
      </c>
      <c r="H7" s="1">
        <v>0</v>
      </c>
      <c r="I7" s="1">
        <v>1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113.10000000000002</v>
      </c>
      <c r="AD7" s="1">
        <v>59267.200000000026</v>
      </c>
      <c r="AE7" s="1">
        <v>0</v>
      </c>
      <c r="AF7" s="1">
        <v>237.19999999999993</v>
      </c>
      <c r="AG7" s="1">
        <v>0</v>
      </c>
      <c r="AH7" s="1">
        <v>2.2999999999999998</v>
      </c>
      <c r="AI7" s="1">
        <v>0</v>
      </c>
      <c r="AJ7" s="1">
        <v>0</v>
      </c>
      <c r="AK7" s="1">
        <v>12.600000000000001</v>
      </c>
      <c r="AL7" s="1">
        <v>0</v>
      </c>
      <c r="AM7" s="1">
        <v>0</v>
      </c>
      <c r="AN7" s="1">
        <v>0</v>
      </c>
      <c r="AO7" s="1">
        <v>4.8000000000000007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4.8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137.51</v>
      </c>
      <c r="BC7" s="1">
        <v>88073.15</v>
      </c>
      <c r="BD7" s="1">
        <v>0</v>
      </c>
      <c r="BE7" s="1">
        <v>229.5</v>
      </c>
      <c r="BF7" s="1">
        <v>0</v>
      </c>
      <c r="BG7" s="1">
        <v>0.16</v>
      </c>
      <c r="BH7" s="1">
        <v>0</v>
      </c>
      <c r="BI7" s="1">
        <v>0</v>
      </c>
      <c r="BJ7" s="1">
        <v>1.8699999999999974</v>
      </c>
      <c r="BK7" s="1">
        <v>0</v>
      </c>
      <c r="BL7" s="1">
        <v>0</v>
      </c>
      <c r="BM7" s="1">
        <v>0</v>
      </c>
      <c r="BN7" s="1">
        <v>0.80000000000000071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0.45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0.12925999999999999</v>
      </c>
      <c r="CB7" s="1">
        <v>82.788710000000009</v>
      </c>
      <c r="CC7" s="1">
        <v>0</v>
      </c>
      <c r="CD7" s="1">
        <v>0.21572999999999998</v>
      </c>
      <c r="CE7" s="1">
        <v>0</v>
      </c>
      <c r="CF7" s="1">
        <v>1.5000000000000001E-4</v>
      </c>
      <c r="CG7" s="1">
        <v>0</v>
      </c>
      <c r="CH7" s="1">
        <v>0</v>
      </c>
      <c r="CI7" s="1">
        <v>1.7100000000000032E-3</v>
      </c>
      <c r="CJ7" s="1">
        <v>0</v>
      </c>
      <c r="CK7" s="1">
        <v>0</v>
      </c>
      <c r="CL7" s="1">
        <v>0</v>
      </c>
      <c r="CM7" s="1">
        <v>1.1000000000000003E-3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3.2000000000000003E-4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0.96892857142857125</v>
      </c>
      <c r="CZ7" s="1">
        <v>8.2732142857142854</v>
      </c>
      <c r="DA7" s="1">
        <v>5.8910714285714283</v>
      </c>
      <c r="DB7" s="1">
        <v>3.4332142857142856</v>
      </c>
      <c r="DC7" s="1">
        <v>5.0853571428571422</v>
      </c>
      <c r="DD7" s="1">
        <v>7.0071428571428571</v>
      </c>
      <c r="DE7" s="1">
        <v>9.6474999999999991</v>
      </c>
      <c r="DF7" s="1">
        <v>11.070357142857143</v>
      </c>
      <c r="DG7" s="1">
        <v>14.128571428571428</v>
      </c>
      <c r="DH7" s="1">
        <v>14.128571428571428</v>
      </c>
      <c r="DI7" s="1">
        <v>11.433571428571428</v>
      </c>
      <c r="DJ7" s="1">
        <v>12.39642857142857</v>
      </c>
      <c r="DK7" s="1">
        <v>13.003571428571428</v>
      </c>
      <c r="DL7" s="1">
        <v>7.4628571428571417</v>
      </c>
      <c r="DM7" s="1">
        <v>6.6210714285714278</v>
      </c>
      <c r="DN7" s="1">
        <v>5.6614285714285719</v>
      </c>
      <c r="DO7" s="1">
        <v>1.1078571428571429</v>
      </c>
      <c r="DP7" s="1">
        <v>0</v>
      </c>
      <c r="DQ7" s="1">
        <v>0</v>
      </c>
      <c r="DR7" s="1">
        <v>0</v>
      </c>
      <c r="DS7" s="1">
        <v>357.55000000000007</v>
      </c>
      <c r="DT7" s="1">
        <v>7088.92</v>
      </c>
      <c r="DU7" s="1">
        <v>17580.93</v>
      </c>
      <c r="DV7" s="1">
        <v>3802.38</v>
      </c>
      <c r="DW7" s="1">
        <v>0</v>
      </c>
      <c r="DX7" s="1">
        <v>0</v>
      </c>
      <c r="DY7" s="1">
        <v>0</v>
      </c>
      <c r="DZ7" s="1">
        <v>0</v>
      </c>
    </row>
    <row r="8" spans="1:130" x14ac:dyDescent="0.25">
      <c r="A8" t="s">
        <v>136</v>
      </c>
      <c r="B8" s="1">
        <v>1</v>
      </c>
      <c r="C8" s="1">
        <v>0</v>
      </c>
      <c r="D8" s="1">
        <v>4</v>
      </c>
      <c r="E8" s="1">
        <v>1492</v>
      </c>
      <c r="F8" s="1">
        <v>0</v>
      </c>
      <c r="G8" s="1">
        <v>3</v>
      </c>
      <c r="H8" s="1">
        <v>0</v>
      </c>
      <c r="I8" s="1">
        <v>0</v>
      </c>
      <c r="J8" s="1">
        <v>0</v>
      </c>
      <c r="K8" s="1">
        <v>0</v>
      </c>
      <c r="L8" s="1">
        <v>4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34.299999999999983</v>
      </c>
      <c r="AB8" s="1">
        <v>0</v>
      </c>
      <c r="AC8" s="1">
        <v>205.8</v>
      </c>
      <c r="AD8" s="1">
        <v>73514.599999999948</v>
      </c>
      <c r="AE8" s="1">
        <v>0</v>
      </c>
      <c r="AF8" s="1">
        <v>83.5</v>
      </c>
      <c r="AG8" s="1">
        <v>0</v>
      </c>
      <c r="AH8" s="1">
        <v>0</v>
      </c>
      <c r="AI8" s="1">
        <v>0</v>
      </c>
      <c r="AJ8" s="1">
        <v>0</v>
      </c>
      <c r="AK8" s="1">
        <v>139.6</v>
      </c>
      <c r="AL8" s="1">
        <v>0</v>
      </c>
      <c r="AM8" s="1">
        <v>0</v>
      </c>
      <c r="AN8" s="1">
        <v>0</v>
      </c>
      <c r="AO8" s="1">
        <v>4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12.9</v>
      </c>
      <c r="AZ8" s="1">
        <v>26.960000000000036</v>
      </c>
      <c r="BA8" s="1">
        <v>0</v>
      </c>
      <c r="BB8" s="1">
        <v>225.66999999999996</v>
      </c>
      <c r="BC8" s="1">
        <v>105300.24000000002</v>
      </c>
      <c r="BD8" s="1">
        <v>0</v>
      </c>
      <c r="BE8" s="1">
        <v>120.22000000000003</v>
      </c>
      <c r="BF8" s="1">
        <v>0</v>
      </c>
      <c r="BG8" s="1">
        <v>0</v>
      </c>
      <c r="BH8" s="1">
        <v>0</v>
      </c>
      <c r="BI8" s="1">
        <v>0</v>
      </c>
      <c r="BJ8" s="1">
        <v>296.52000000000004</v>
      </c>
      <c r="BK8" s="1">
        <v>0</v>
      </c>
      <c r="BL8" s="1">
        <v>0</v>
      </c>
      <c r="BM8" s="1">
        <v>0</v>
      </c>
      <c r="BN8" s="1">
        <v>0.37999999999999901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16.02</v>
      </c>
      <c r="BY8" s="1">
        <v>2.5339999999999918E-2</v>
      </c>
      <c r="BZ8" s="1">
        <v>0</v>
      </c>
      <c r="CA8" s="1">
        <v>0.21212000000000003</v>
      </c>
      <c r="CB8" s="1">
        <v>98.981809999999996</v>
      </c>
      <c r="CC8" s="1">
        <v>0</v>
      </c>
      <c r="CD8" s="1">
        <v>0.11301000000000005</v>
      </c>
      <c r="CE8" s="1">
        <v>0</v>
      </c>
      <c r="CF8" s="1">
        <v>0</v>
      </c>
      <c r="CG8" s="1">
        <v>0</v>
      </c>
      <c r="CH8" s="1">
        <v>0</v>
      </c>
      <c r="CI8" s="1">
        <v>0.26984000000000002</v>
      </c>
      <c r="CJ8" s="1">
        <v>0</v>
      </c>
      <c r="CK8" s="1">
        <v>0</v>
      </c>
      <c r="CL8" s="1">
        <v>0</v>
      </c>
      <c r="CM8" s="1">
        <v>5.2999999999999922E-4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1.6020000000000003E-2</v>
      </c>
      <c r="CX8" s="1">
        <v>0</v>
      </c>
      <c r="CY8" s="1">
        <v>1.3903448275862069</v>
      </c>
      <c r="CZ8" s="1">
        <v>13.175517241379309</v>
      </c>
      <c r="DA8" s="1">
        <v>13.93206896551724</v>
      </c>
      <c r="DB8" s="1">
        <v>9.4013793103448275</v>
      </c>
      <c r="DC8" s="1">
        <v>7.9493103448275857</v>
      </c>
      <c r="DD8" s="1">
        <v>9.6955172413793083</v>
      </c>
      <c r="DE8" s="1">
        <v>11.383103448275861</v>
      </c>
      <c r="DF8" s="1">
        <v>16.097931034482759</v>
      </c>
      <c r="DG8" s="1">
        <v>14.171379310344827</v>
      </c>
      <c r="DH8" s="1">
        <v>15.886206896551723</v>
      </c>
      <c r="DI8" s="1">
        <v>12.332413793103449</v>
      </c>
      <c r="DJ8" s="1">
        <v>9.4937931034482759</v>
      </c>
      <c r="DK8" s="1">
        <v>10.114827586206896</v>
      </c>
      <c r="DL8" s="1">
        <v>7.1706896551724135</v>
      </c>
      <c r="DM8" s="1">
        <v>5.6603448275862061</v>
      </c>
      <c r="DN8" s="1">
        <v>5.3389655172413786</v>
      </c>
      <c r="DO8" s="1">
        <v>1.6210344827586207</v>
      </c>
      <c r="DP8" s="1">
        <v>0</v>
      </c>
      <c r="DQ8" s="1">
        <v>0</v>
      </c>
      <c r="DR8" s="1">
        <v>0</v>
      </c>
      <c r="DS8" s="1">
        <v>427.56999999999994</v>
      </c>
      <c r="DT8" s="1">
        <v>7359.0299999999988</v>
      </c>
      <c r="DU8" s="1">
        <v>22287.399999999994</v>
      </c>
      <c r="DV8" s="1">
        <v>3264.9699999999993</v>
      </c>
      <c r="DW8" s="1">
        <v>0</v>
      </c>
      <c r="DX8" s="1">
        <v>0</v>
      </c>
      <c r="DY8" s="1">
        <v>0</v>
      </c>
      <c r="DZ8" s="1">
        <v>0</v>
      </c>
    </row>
    <row r="9" spans="1:130" x14ac:dyDescent="0.25">
      <c r="A9" t="s">
        <v>137</v>
      </c>
      <c r="B9" s="1">
        <v>2</v>
      </c>
      <c r="C9" s="1">
        <v>0</v>
      </c>
      <c r="D9" s="1">
        <v>1</v>
      </c>
      <c r="E9" s="1">
        <v>1472</v>
      </c>
      <c r="F9" s="1">
        <v>1</v>
      </c>
      <c r="G9" s="1">
        <v>1</v>
      </c>
      <c r="H9" s="1">
        <v>0</v>
      </c>
      <c r="I9" s="1">
        <v>2</v>
      </c>
      <c r="J9" s="1">
        <v>0</v>
      </c>
      <c r="K9" s="1">
        <v>0</v>
      </c>
      <c r="L9" s="1">
        <v>2</v>
      </c>
      <c r="M9" s="1">
        <v>0</v>
      </c>
      <c r="N9" s="1">
        <v>0</v>
      </c>
      <c r="O9" s="1">
        <v>0</v>
      </c>
      <c r="P9" s="1">
        <v>5</v>
      </c>
      <c r="Q9" s="1">
        <v>0</v>
      </c>
      <c r="R9" s="1">
        <v>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62.300000000000011</v>
      </c>
      <c r="AB9" s="1">
        <v>0</v>
      </c>
      <c r="AC9" s="1">
        <v>9.1000000000000227</v>
      </c>
      <c r="AD9" s="1">
        <v>75092.700000000012</v>
      </c>
      <c r="AE9" s="1">
        <v>56.29999999999999</v>
      </c>
      <c r="AF9" s="1">
        <v>25.600000000000023</v>
      </c>
      <c r="AG9" s="1">
        <v>0</v>
      </c>
      <c r="AH9" s="1">
        <v>27.099999999999998</v>
      </c>
      <c r="AI9" s="1">
        <v>0</v>
      </c>
      <c r="AJ9" s="1">
        <v>0</v>
      </c>
      <c r="AK9" s="1">
        <v>112.4</v>
      </c>
      <c r="AL9" s="1">
        <v>0</v>
      </c>
      <c r="AM9" s="1">
        <v>0</v>
      </c>
      <c r="AN9" s="1">
        <v>0</v>
      </c>
      <c r="AO9" s="1">
        <v>119</v>
      </c>
      <c r="AP9" s="1">
        <v>0</v>
      </c>
      <c r="AQ9" s="1">
        <v>36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68.949999999999932</v>
      </c>
      <c r="BA9" s="1">
        <v>0</v>
      </c>
      <c r="BB9" s="1">
        <v>13.75</v>
      </c>
      <c r="BC9" s="1">
        <v>119448.54999999999</v>
      </c>
      <c r="BD9" s="1">
        <v>164.3</v>
      </c>
      <c r="BE9" s="1">
        <v>22.789999999999964</v>
      </c>
      <c r="BF9" s="1">
        <v>0</v>
      </c>
      <c r="BG9" s="1">
        <v>10.68</v>
      </c>
      <c r="BH9" s="1">
        <v>0</v>
      </c>
      <c r="BI9" s="1">
        <v>0</v>
      </c>
      <c r="BJ9" s="1">
        <v>195.98000000000002</v>
      </c>
      <c r="BK9" s="1">
        <v>0</v>
      </c>
      <c r="BL9" s="1">
        <v>0</v>
      </c>
      <c r="BM9" s="1">
        <v>0</v>
      </c>
      <c r="BN9" s="1">
        <v>362.48</v>
      </c>
      <c r="BO9" s="1">
        <v>0</v>
      </c>
      <c r="BP9" s="1">
        <v>34.839999999999996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6.48200000000001E-2</v>
      </c>
      <c r="BZ9" s="1">
        <v>0</v>
      </c>
      <c r="CA9" s="1">
        <v>1.2919999999999932E-2</v>
      </c>
      <c r="CB9" s="1">
        <v>112.28194000000002</v>
      </c>
      <c r="CC9" s="1">
        <v>0.15444000000000002</v>
      </c>
      <c r="CD9" s="1">
        <v>2.1419999999999995E-2</v>
      </c>
      <c r="CE9" s="1">
        <v>0</v>
      </c>
      <c r="CF9" s="1">
        <v>9.7099999999999999E-3</v>
      </c>
      <c r="CG9" s="1">
        <v>0</v>
      </c>
      <c r="CH9" s="1">
        <v>0</v>
      </c>
      <c r="CI9" s="1">
        <v>0.17833000000000004</v>
      </c>
      <c r="CJ9" s="1">
        <v>0</v>
      </c>
      <c r="CK9" s="1">
        <v>0</v>
      </c>
      <c r="CL9" s="1">
        <v>0</v>
      </c>
      <c r="CM9" s="1">
        <v>0.50020999999999993</v>
      </c>
      <c r="CN9" s="1">
        <v>0</v>
      </c>
      <c r="CO9" s="1">
        <v>4.8430000000000008E-2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0.16785714285714287</v>
      </c>
      <c r="CZ9" s="1">
        <v>5.4785714285714278</v>
      </c>
      <c r="DA9" s="1">
        <v>5.6949999999999994</v>
      </c>
      <c r="DB9" s="1">
        <v>3.513928571428572</v>
      </c>
      <c r="DC9" s="1">
        <v>4.1032142857142855</v>
      </c>
      <c r="DD9" s="1">
        <v>12.018571428571429</v>
      </c>
      <c r="DE9" s="1">
        <v>15.463214285714285</v>
      </c>
      <c r="DF9" s="1">
        <v>16.411428571428569</v>
      </c>
      <c r="DG9" s="1">
        <v>19.113214285714285</v>
      </c>
      <c r="DH9" s="1">
        <v>22.108214285714286</v>
      </c>
      <c r="DI9" s="1">
        <v>16.76642857142857</v>
      </c>
      <c r="DJ9" s="1">
        <v>15.578571428571431</v>
      </c>
      <c r="DK9" s="1">
        <v>14.253214285714284</v>
      </c>
      <c r="DL9" s="1">
        <v>10.471785714285714</v>
      </c>
      <c r="DM9" s="1">
        <v>7.2824999999999998</v>
      </c>
      <c r="DN9" s="1">
        <v>5.96</v>
      </c>
      <c r="DO9" s="1">
        <v>1.6385714285714283</v>
      </c>
      <c r="DP9" s="1">
        <v>6.7857142857142855E-3</v>
      </c>
      <c r="DQ9" s="1">
        <v>0</v>
      </c>
      <c r="DR9" s="1">
        <v>1.38</v>
      </c>
      <c r="DS9" s="1">
        <v>258.88000000000011</v>
      </c>
      <c r="DT9" s="1">
        <v>7030.68</v>
      </c>
      <c r="DU9" s="1">
        <v>19125.97</v>
      </c>
      <c r="DV9" s="1">
        <v>3065.1200000000008</v>
      </c>
      <c r="DW9" s="1">
        <v>0</v>
      </c>
      <c r="DX9" s="1">
        <v>0</v>
      </c>
      <c r="DY9" s="1">
        <v>0</v>
      </c>
      <c r="DZ9" s="1">
        <v>0</v>
      </c>
    </row>
    <row r="10" spans="1:130" x14ac:dyDescent="0.25">
      <c r="A10" t="s">
        <v>138</v>
      </c>
      <c r="B10" s="1">
        <v>1</v>
      </c>
      <c r="C10" s="1">
        <v>0</v>
      </c>
      <c r="D10" s="1">
        <v>1</v>
      </c>
      <c r="E10" s="1">
        <v>986</v>
      </c>
      <c r="F10" s="1">
        <v>1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8.1999999999999886</v>
      </c>
      <c r="AB10" s="1">
        <v>0</v>
      </c>
      <c r="AC10" s="1">
        <v>10.399999999999977</v>
      </c>
      <c r="AD10" s="1">
        <v>49980.399999999965</v>
      </c>
      <c r="AE10" s="1">
        <v>46.700000000000017</v>
      </c>
      <c r="AF10" s="1">
        <v>85.100000000000023</v>
      </c>
      <c r="AG10" s="1">
        <v>0</v>
      </c>
      <c r="AH10" s="1">
        <v>0</v>
      </c>
      <c r="AI10" s="1">
        <v>0</v>
      </c>
      <c r="AJ10" s="1">
        <v>0</v>
      </c>
      <c r="AK10" s="1">
        <v>59.199999999999989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58.7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17.600000000000001</v>
      </c>
      <c r="AZ10" s="1">
        <v>1.5900000000000318</v>
      </c>
      <c r="BA10" s="1">
        <v>0</v>
      </c>
      <c r="BB10" s="1">
        <v>2.7900000000000773</v>
      </c>
      <c r="BC10" s="1">
        <v>77235.459999999905</v>
      </c>
      <c r="BD10" s="1">
        <v>40.929999999999978</v>
      </c>
      <c r="BE10" s="1">
        <v>123.86000000000013</v>
      </c>
      <c r="BF10" s="1">
        <v>0</v>
      </c>
      <c r="BG10" s="1">
        <v>0</v>
      </c>
      <c r="BH10" s="1">
        <v>0</v>
      </c>
      <c r="BI10" s="1">
        <v>0</v>
      </c>
      <c r="BJ10" s="1">
        <v>52.580000000000041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41.79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27.06</v>
      </c>
      <c r="BY10" s="1">
        <v>1.4899999999999913E-3</v>
      </c>
      <c r="BZ10" s="1">
        <v>0</v>
      </c>
      <c r="CA10" s="1">
        <v>2.6200000000000667E-3</v>
      </c>
      <c r="CB10" s="1">
        <v>72.601740000000007</v>
      </c>
      <c r="CC10" s="1">
        <v>3.8479999999999986E-2</v>
      </c>
      <c r="CD10" s="1">
        <v>0.11643999999999988</v>
      </c>
      <c r="CE10" s="1">
        <v>0</v>
      </c>
      <c r="CF10" s="1">
        <v>0</v>
      </c>
      <c r="CG10" s="1">
        <v>0</v>
      </c>
      <c r="CH10" s="1">
        <v>0</v>
      </c>
      <c r="CI10" s="1">
        <v>4.7850000000000004E-2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5.8089999999999996E-2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2.7059999999999997E-2</v>
      </c>
      <c r="CX10" s="1">
        <v>0</v>
      </c>
      <c r="CY10" s="1">
        <v>1.3753571428571429</v>
      </c>
      <c r="CZ10" s="1">
        <v>9.9982142857142851</v>
      </c>
      <c r="DA10" s="1">
        <v>7.3824999999999994</v>
      </c>
      <c r="DB10" s="1">
        <v>6.4646428571428567</v>
      </c>
      <c r="DC10" s="1">
        <v>3.5049999999999994</v>
      </c>
      <c r="DD10" s="1">
        <v>9.8953571428571419</v>
      </c>
      <c r="DE10" s="1">
        <v>10.268214285714285</v>
      </c>
      <c r="DF10" s="1">
        <v>10.199285714285713</v>
      </c>
      <c r="DG10" s="1">
        <v>9.2346428571428572</v>
      </c>
      <c r="DH10" s="1">
        <v>6.203214285714286</v>
      </c>
      <c r="DI10" s="1">
        <v>3.7792857142857139</v>
      </c>
      <c r="DJ10" s="1">
        <v>3.8399999999999994</v>
      </c>
      <c r="DK10" s="1">
        <v>2.1385714285714283</v>
      </c>
      <c r="DL10" s="1">
        <v>2.8285714285714287</v>
      </c>
      <c r="DM10" s="1">
        <v>2.4514285714285715</v>
      </c>
      <c r="DN10" s="1">
        <v>2.7639285714285715</v>
      </c>
      <c r="DO10" s="1">
        <v>0.73928571428571421</v>
      </c>
      <c r="DP10" s="1">
        <v>0.17428571428571429</v>
      </c>
      <c r="DQ10" s="1">
        <v>0</v>
      </c>
      <c r="DR10" s="1">
        <v>0</v>
      </c>
      <c r="DS10" s="1">
        <v>216.68999999999983</v>
      </c>
      <c r="DT10" s="1">
        <v>4269.9400000000023</v>
      </c>
      <c r="DU10" s="1">
        <v>11870.809999999998</v>
      </c>
      <c r="DV10" s="1">
        <v>2654.3500000000004</v>
      </c>
      <c r="DW10" s="1">
        <v>0</v>
      </c>
      <c r="DX10" s="1">
        <v>0</v>
      </c>
      <c r="DY10" s="1">
        <v>0</v>
      </c>
      <c r="DZ10" s="1">
        <v>0</v>
      </c>
    </row>
    <row r="11" spans="1:130" x14ac:dyDescent="0.25">
      <c r="A11" t="s">
        <v>139</v>
      </c>
      <c r="B11" s="1">
        <v>0</v>
      </c>
      <c r="C11" s="1">
        <v>0</v>
      </c>
      <c r="D11" s="1">
        <v>0</v>
      </c>
      <c r="E11" s="1">
        <v>34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1804.4000000000233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2314.2500000001164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2.1753299999999172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0.22357142857142856</v>
      </c>
      <c r="DA11" s="1">
        <v>0</v>
      </c>
      <c r="DB11" s="1">
        <v>0</v>
      </c>
      <c r="DC11" s="1">
        <v>0.3125</v>
      </c>
      <c r="DD11" s="1">
        <v>2.6785714285714284E-2</v>
      </c>
      <c r="DE11" s="1">
        <v>0.30357142857142855</v>
      </c>
      <c r="DF11" s="1">
        <v>0.78785714285714281</v>
      </c>
      <c r="DG11" s="1">
        <v>0.15178571428571427</v>
      </c>
      <c r="DH11" s="1">
        <v>0.25214285714285711</v>
      </c>
      <c r="DI11" s="1">
        <v>0.24571428571428572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14.590000000000146</v>
      </c>
      <c r="DT11" s="1">
        <v>144.09999999999854</v>
      </c>
      <c r="DU11" s="1">
        <v>782.74000000000524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</row>
    <row r="12" spans="1:130" x14ac:dyDescent="0.25">
      <c r="A12" t="s">
        <v>140</v>
      </c>
      <c r="B12" s="1">
        <v>0</v>
      </c>
      <c r="C12" s="1">
        <v>0</v>
      </c>
      <c r="D12" s="1">
        <v>0</v>
      </c>
      <c r="E12" s="1">
        <v>4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135.50000000005821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129.98999999999069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0.12220999999999549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0.15310344827586209</v>
      </c>
      <c r="DM12" s="1">
        <v>0.18551724137931033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4.1499999999998636</v>
      </c>
      <c r="DT12" s="1">
        <v>36.159999999996217</v>
      </c>
      <c r="DU12" s="1">
        <v>95.25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</row>
    <row r="13" spans="1:130" x14ac:dyDescent="0.25">
      <c r="A13" t="s">
        <v>141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</row>
    <row r="14" spans="1:130" x14ac:dyDescent="0.25">
      <c r="A14" t="s">
        <v>142</v>
      </c>
      <c r="B14" s="1">
        <v>0</v>
      </c>
      <c r="C14" s="1">
        <v>0</v>
      </c>
      <c r="D14" s="1">
        <v>0</v>
      </c>
      <c r="E14" s="1">
        <v>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126.29999999998836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240.35999999998603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0.22590000000002419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0.1207142857142857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12.450000000004366</v>
      </c>
      <c r="DU14" s="1">
        <v>113.74000000000524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</row>
    <row r="15" spans="1:130" x14ac:dyDescent="0.25">
      <c r="A15" t="s">
        <v>143</v>
      </c>
      <c r="B15" s="1">
        <v>0</v>
      </c>
      <c r="C15" s="1">
        <v>0</v>
      </c>
      <c r="D15" s="1">
        <v>0</v>
      </c>
      <c r="E15" s="1">
        <v>18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740.89999999996508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7.4000000000000341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8.6999999999999993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986.80999999993946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0.74000000000000909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0.65000000000000013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0.92761000000007243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6.8000000000001393E-4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4.5000000000000004E-4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0.12285714285714286</v>
      </c>
      <c r="DL15" s="1">
        <v>0.02</v>
      </c>
      <c r="DM15" s="1">
        <v>0.29678571428571432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16.009999999999991</v>
      </c>
      <c r="DT15" s="1">
        <v>218.95999999999913</v>
      </c>
      <c r="DU15" s="1">
        <v>305.7899999999936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</row>
    <row r="16" spans="1:130" x14ac:dyDescent="0.25">
      <c r="A16" t="s">
        <v>144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</row>
    <row r="17" spans="1:130" x14ac:dyDescent="0.25">
      <c r="A17" t="s">
        <v>145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</row>
  </sheetData>
  <sheetProtection sheet="1" objects="1" scenarios="1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Zusammenfassung</vt:lpstr>
      <vt:lpstr>Detailergebnisse</vt:lpstr>
      <vt:lpstr>Diagramme</vt:lpstr>
      <vt:lpstr>Rohdaten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Prinz</cp:lastModifiedBy>
  <dcterms:modified xsi:type="dcterms:W3CDTF">2025-11-06T12:21:53Z</dcterms:modified>
</cp:coreProperties>
</file>